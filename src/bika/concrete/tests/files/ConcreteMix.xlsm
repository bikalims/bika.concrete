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zinga-my.sharepoint.com/personal/amirhajibabaee_ozinga_com/Documents/Desktop/Bika/"/>
    </mc:Choice>
  </mc:AlternateContent>
  <xr:revisionPtr revIDLastSave="435" documentId="8_{BCE54271-A01A-4B8B-AB0D-B83B7024E78F}" xr6:coauthVersionLast="47" xr6:coauthVersionMax="47" xr10:uidLastSave="{42E145FC-DD0D-48DF-8664-2E4B237CDBB4}"/>
  <bookViews>
    <workbookView xWindow="-108" yWindow="-108" windowWidth="23256" windowHeight="13896" tabRatio="696" firstSheet="1" activeTab="5" xr2:uid="{00000000-000D-0000-FFFF-FFFF00000000}"/>
  </bookViews>
  <sheets>
    <sheet name="Units" sheetId="28" state="hidden" r:id="rId1"/>
    <sheet name="Materials_List" sheetId="29" r:id="rId2"/>
    <sheet name="Materials_Types" sheetId="30" state="hidden" r:id="rId3"/>
    <sheet name="Materials_Names" sheetId="26" state="hidden" r:id="rId4"/>
    <sheet name="Materials_SPG" sheetId="31" state="hidden" r:id="rId5"/>
    <sheet name="SSD &amp; Batch values" sheetId="24" r:id="rId6"/>
  </sheets>
  <definedNames>
    <definedName name="ABS">#REF!</definedName>
    <definedName name="Description">#REF!</definedName>
    <definedName name="floz" localSheetId="1">Materials_List!#REF!</definedName>
    <definedName name="floz" localSheetId="4">Materials_SPG!#REF!</definedName>
    <definedName name="floz" localSheetId="2">Materials_Types!#REF!</definedName>
    <definedName name="floz" localSheetId="0">Units!#REF!</definedName>
    <definedName name="floz">Materials_Names!#REF!</definedName>
    <definedName name="lb" localSheetId="1">Materials_List!#REF!</definedName>
    <definedName name="lb" localSheetId="4">Materials_SPG!#REF!</definedName>
    <definedName name="lb" localSheetId="2">Materials_Types!#REF!</definedName>
    <definedName name="lb" localSheetId="0">Units!#REF!</definedName>
    <definedName name="lb">Materials_Names!#REF!</definedName>
    <definedName name="Location">#REF!</definedName>
    <definedName name="Material">#REF!</definedName>
    <definedName name="P_S_No.">#REF!</definedName>
    <definedName name="_xlnm.Print_Area" localSheetId="5">'SSD &amp; Batch values'!$B$39:$J$53</definedName>
    <definedName name="Producer_Name">#REF!</definedName>
    <definedName name="SG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6" i="24" l="1"/>
  <c r="I76" i="24" s="1"/>
  <c r="H75" i="24"/>
  <c r="I75" i="24" s="1"/>
  <c r="H68" i="24"/>
  <c r="I68" i="24" s="1"/>
  <c r="H67" i="24"/>
  <c r="I67" i="24" s="1"/>
  <c r="H66" i="24"/>
  <c r="I66" i="24" s="1"/>
  <c r="H65" i="24"/>
  <c r="I65" i="24" s="1"/>
  <c r="H64" i="24"/>
  <c r="I64" i="24" s="1"/>
  <c r="H63" i="24"/>
  <c r="I63" i="24" s="1"/>
  <c r="H62" i="24"/>
  <c r="I62" i="24" s="1"/>
  <c r="H61" i="24"/>
  <c r="I61" i="24" s="1"/>
  <c r="H60" i="24"/>
  <c r="I60" i="24" s="1"/>
  <c r="H59" i="24"/>
  <c r="I59" i="24" s="1"/>
  <c r="H58" i="24"/>
  <c r="I58" i="24" s="1"/>
  <c r="H56" i="24"/>
  <c r="I56" i="24" s="1"/>
  <c r="C83" i="24" l="1"/>
  <c r="E83" i="24"/>
  <c r="I34" i="24"/>
  <c r="H74" i="24" s="1"/>
  <c r="I74" i="24" s="1"/>
  <c r="I33" i="24"/>
  <c r="H73" i="24" s="1"/>
  <c r="I73" i="24" s="1"/>
  <c r="I32" i="24"/>
  <c r="H72" i="24" s="1"/>
  <c r="I72" i="24" s="1"/>
  <c r="I31" i="24"/>
  <c r="H71" i="24" s="1"/>
  <c r="I71" i="24" s="1"/>
  <c r="I30" i="24"/>
  <c r="H70" i="24" s="1"/>
  <c r="I70" i="24" s="1"/>
  <c r="G86" i="24" l="1"/>
  <c r="G85" i="24"/>
  <c r="G84" i="24"/>
  <c r="G83" i="24"/>
  <c r="E86" i="24"/>
  <c r="E85" i="24"/>
  <c r="C86" i="24"/>
  <c r="I16" i="24"/>
  <c r="F44" i="24"/>
  <c r="F41" i="24"/>
  <c r="C85" i="24" l="1"/>
  <c r="C84" i="24"/>
  <c r="B3" i="31" a="1"/>
  <c r="B3" i="31" s="1"/>
  <c r="B4" i="31" a="1"/>
  <c r="B4" i="31" s="1"/>
  <c r="B5" i="31" a="1"/>
  <c r="B5" i="31" s="1"/>
  <c r="B6" i="31" a="1"/>
  <c r="B6" i="31" s="1"/>
  <c r="B7" i="31" a="1"/>
  <c r="B7" i="31" s="1"/>
  <c r="B8" i="31" a="1"/>
  <c r="B8" i="31" s="1"/>
  <c r="B9" i="31" a="1"/>
  <c r="B9" i="31" s="1"/>
  <c r="B10" i="31" a="1"/>
  <c r="B10" i="31" s="1"/>
  <c r="B11" i="31" a="1"/>
  <c r="B11" i="31" s="1"/>
  <c r="B12" i="31" a="1"/>
  <c r="B12" i="31" s="1"/>
  <c r="B13" i="31" a="1"/>
  <c r="B13" i="31" s="1"/>
  <c r="B14" i="31" a="1"/>
  <c r="B14" i="31" s="1"/>
  <c r="B15" i="31" a="1"/>
  <c r="B15" i="31" s="1"/>
  <c r="B16" i="31" a="1"/>
  <c r="B16" i="31" s="1"/>
  <c r="B17" i="31" a="1"/>
  <c r="B17" i="31" s="1"/>
  <c r="B18" i="31" a="1"/>
  <c r="B18" i="31" s="1"/>
  <c r="B19" i="31" a="1"/>
  <c r="B19" i="31" s="1"/>
  <c r="B20" i="31" a="1"/>
  <c r="B20" i="31" s="1"/>
  <c r="B21" i="31" a="1"/>
  <c r="B21" i="31" s="1"/>
  <c r="B22" i="31" a="1"/>
  <c r="B22" i="31" s="1"/>
  <c r="B23" i="31" a="1"/>
  <c r="B23" i="31" s="1"/>
  <c r="B24" i="31" a="1"/>
  <c r="B24" i="31" s="1"/>
  <c r="B2" i="31" a="1"/>
  <c r="B2" i="31" s="1"/>
  <c r="B3" i="26" a="1"/>
  <c r="B3" i="26" s="1"/>
  <c r="B4" i="26" a="1"/>
  <c r="B4" i="26" s="1"/>
  <c r="B5" i="26" a="1"/>
  <c r="B5" i="26" s="1"/>
  <c r="B6" i="26" a="1"/>
  <c r="B6" i="26" s="1"/>
  <c r="B7" i="26" a="1"/>
  <c r="B7" i="26" s="1"/>
  <c r="B8" i="26" a="1"/>
  <c r="B8" i="26" s="1"/>
  <c r="B9" i="26" a="1"/>
  <c r="B9" i="26" s="1"/>
  <c r="B10" i="26" a="1"/>
  <c r="B10" i="26" s="1"/>
  <c r="B11" i="26" a="1"/>
  <c r="B11" i="26" s="1"/>
  <c r="B12" i="26" a="1"/>
  <c r="B12" i="26" s="1"/>
  <c r="B13" i="26" a="1"/>
  <c r="B13" i="26" s="1"/>
  <c r="B14" i="26" a="1"/>
  <c r="B14" i="26" s="1"/>
  <c r="B15" i="26" a="1"/>
  <c r="B15" i="26" s="1"/>
  <c r="B16" i="26" a="1"/>
  <c r="B16" i="26" s="1"/>
  <c r="B17" i="26" a="1"/>
  <c r="B17" i="26" s="1"/>
  <c r="B18" i="26" a="1"/>
  <c r="B18" i="26" s="1"/>
  <c r="B19" i="26" a="1"/>
  <c r="B19" i="26" s="1"/>
  <c r="B20" i="26" a="1"/>
  <c r="B20" i="26" s="1"/>
  <c r="B21" i="26" a="1"/>
  <c r="B21" i="26" s="1"/>
  <c r="B22" i="26" a="1"/>
  <c r="B22" i="26" s="1"/>
  <c r="B23" i="26" a="1"/>
  <c r="B23" i="26" s="1"/>
  <c r="B24" i="26" a="1"/>
  <c r="B24" i="26" s="1"/>
  <c r="B2" i="26" a="1"/>
  <c r="B2" i="26" s="1"/>
  <c r="B3" i="30" a="1"/>
  <c r="B3" i="30" s="1"/>
  <c r="B4" i="30" a="1"/>
  <c r="B4" i="30" s="1"/>
  <c r="B5" i="30" a="1"/>
  <c r="B5" i="30" s="1"/>
  <c r="B6" i="30" a="1"/>
  <c r="B6" i="30" s="1"/>
  <c r="B7" i="30" a="1"/>
  <c r="B7" i="30" s="1"/>
  <c r="B8" i="30" a="1"/>
  <c r="B8" i="30" s="1"/>
  <c r="B9" i="30" a="1"/>
  <c r="B9" i="30" s="1"/>
  <c r="B10" i="30" a="1"/>
  <c r="B10" i="30" s="1"/>
  <c r="B11" i="30" a="1"/>
  <c r="B11" i="30" s="1"/>
  <c r="B12" i="30" a="1"/>
  <c r="B12" i="30" s="1"/>
  <c r="B13" i="30" a="1"/>
  <c r="B13" i="30" s="1"/>
  <c r="B14" i="30" a="1"/>
  <c r="B14" i="30" s="1"/>
  <c r="B15" i="30" a="1"/>
  <c r="B15" i="30" s="1"/>
  <c r="B16" i="30" a="1"/>
  <c r="B16" i="30" s="1"/>
  <c r="B17" i="30" a="1"/>
  <c r="B17" i="30" s="1"/>
  <c r="B18" i="30" a="1"/>
  <c r="B18" i="30" s="1"/>
  <c r="B19" i="30" a="1"/>
  <c r="B19" i="30" s="1"/>
  <c r="B20" i="30" a="1"/>
  <c r="B20" i="30" s="1"/>
  <c r="B21" i="30" a="1"/>
  <c r="B21" i="30" s="1"/>
  <c r="B22" i="30" a="1"/>
  <c r="B22" i="30" s="1"/>
  <c r="B23" i="30" a="1"/>
  <c r="B23" i="30" s="1"/>
  <c r="B24" i="30" a="1"/>
  <c r="B24" i="30" s="1"/>
  <c r="B2" i="30" a="1"/>
  <c r="B2" i="30" s="1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F56" i="24"/>
  <c r="F57" i="24"/>
  <c r="H57" i="24" s="1"/>
  <c r="I57" i="24" s="1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51" i="24"/>
  <c r="F42" i="24"/>
  <c r="F50" i="24"/>
  <c r="F49" i="24"/>
  <c r="F48" i="24"/>
  <c r="F47" i="24"/>
  <c r="F46" i="24"/>
  <c r="F45" i="24"/>
  <c r="F43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56" i="24"/>
  <c r="I36" i="24"/>
  <c r="I35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H35" i="24"/>
  <c r="H25" i="24"/>
  <c r="H23" i="24"/>
  <c r="H19" i="24"/>
  <c r="H16" i="24"/>
  <c r="I47" i="24" l="1"/>
  <c r="J64" i="24"/>
  <c r="J63" i="24"/>
  <c r="J57" i="24"/>
  <c r="J58" i="24"/>
  <c r="J62" i="24"/>
  <c r="J61" i="24"/>
  <c r="J68" i="24"/>
  <c r="J66" i="24"/>
  <c r="J56" i="24"/>
  <c r="J65" i="24"/>
  <c r="J67" i="24"/>
  <c r="J76" i="24"/>
  <c r="J60" i="24"/>
  <c r="J75" i="24"/>
  <c r="J59" i="24"/>
  <c r="I5" i="24"/>
  <c r="I8" i="24" l="1"/>
  <c r="E84" i="24" s="1"/>
  <c r="I6" i="24"/>
  <c r="I29" i="24"/>
  <c r="H29" i="24" l="1"/>
  <c r="H69" i="24"/>
  <c r="I69" i="24" s="1"/>
  <c r="H37" i="24"/>
  <c r="F37" i="24" s="1"/>
  <c r="F77" i="24" s="1"/>
  <c r="H77" i="24" s="1"/>
  <c r="I77" i="24" s="1"/>
  <c r="F38" i="24" l="1"/>
  <c r="F78" i="24" s="1"/>
  <c r="H78" i="24" s="1"/>
  <c r="I78" i="24" s="1"/>
  <c r="J77" i="24"/>
  <c r="I37" i="24"/>
  <c r="I38" i="24" l="1"/>
  <c r="I7" i="24" s="1"/>
  <c r="I9" i="24" s="1"/>
  <c r="J78" i="24"/>
  <c r="B92" i="24" a="1"/>
  <c r="B92" i="24" s="1"/>
  <c r="I10" i="24" l="1"/>
  <c r="J37" i="24"/>
  <c r="J25" i="24"/>
  <c r="J19" i="24"/>
  <c r="J29" i="24"/>
  <c r="J23" i="24"/>
  <c r="J16" i="24"/>
  <c r="J35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<sst xmlns="http://schemas.openxmlformats.org/spreadsheetml/2006/main" count="915" uniqueCount="463">
  <si>
    <t>Holcim</t>
  </si>
  <si>
    <t>Buzzi Unicem</t>
  </si>
  <si>
    <t>Vulcan</t>
  </si>
  <si>
    <t>Description</t>
  </si>
  <si>
    <t>Lafarge Joliet</t>
  </si>
  <si>
    <t>Tricon</t>
  </si>
  <si>
    <t>Lafarge Fox River</t>
  </si>
  <si>
    <t>Vulcan Materials</t>
  </si>
  <si>
    <t>Blended Sand</t>
  </si>
  <si>
    <t>20CM16MR</t>
  </si>
  <si>
    <t>Arrow Sand &amp; Gravel</t>
  </si>
  <si>
    <t>lb</t>
  </si>
  <si>
    <t>oz/cwt CM</t>
  </si>
  <si>
    <t>Water</t>
  </si>
  <si>
    <t>City Water</t>
  </si>
  <si>
    <t>ml</t>
  </si>
  <si>
    <t>Total Moisture %</t>
  </si>
  <si>
    <t>Design W/CM</t>
  </si>
  <si>
    <t>oz/cwt C</t>
  </si>
  <si>
    <t>oz/CY</t>
  </si>
  <si>
    <t>Cement</t>
  </si>
  <si>
    <t>SCM</t>
  </si>
  <si>
    <t>Fine Aggregate</t>
  </si>
  <si>
    <t>Coarse Aggregate</t>
  </si>
  <si>
    <t>Manufactured Sand</t>
  </si>
  <si>
    <t>CALST15HT</t>
  </si>
  <si>
    <t>27FM01OH</t>
  </si>
  <si>
    <t xml:space="preserve">Specimen </t>
  </si>
  <si>
    <t>Number of Samples</t>
  </si>
  <si>
    <t>Cylinders</t>
  </si>
  <si>
    <t>4x8</t>
  </si>
  <si>
    <t>6x12</t>
  </si>
  <si>
    <t>Prisms</t>
  </si>
  <si>
    <t>3x3x11</t>
  </si>
  <si>
    <t>4x4x11</t>
  </si>
  <si>
    <t>Time of Set Cyl.</t>
  </si>
  <si>
    <t>3x12</t>
  </si>
  <si>
    <t>Salt Scaling Panels</t>
  </si>
  <si>
    <t xml:space="preserve">Bleed Water </t>
  </si>
  <si>
    <t>Bucket</t>
  </si>
  <si>
    <t>Flexural Beams</t>
  </si>
  <si>
    <t>6X6X22</t>
  </si>
  <si>
    <t>Finishing Panels</t>
  </si>
  <si>
    <t>12x12x4</t>
  </si>
  <si>
    <t>Dimensions in inches</t>
  </si>
  <si>
    <t>Measured Slump (in)</t>
  </si>
  <si>
    <t>Super Air Meter #</t>
  </si>
  <si>
    <t>CEM-HCM1L</t>
  </si>
  <si>
    <t>FLY-OZJOP</t>
  </si>
  <si>
    <t>Aggregate</t>
  </si>
  <si>
    <t>CEM-CSC</t>
  </si>
  <si>
    <t>SLG-SKY</t>
  </si>
  <si>
    <t>Filler</t>
  </si>
  <si>
    <t>CS-FE</t>
  </si>
  <si>
    <t>Units</t>
  </si>
  <si>
    <t>Volumes (CF)</t>
  </si>
  <si>
    <t>Names</t>
  </si>
  <si>
    <t xml:space="preserve"> Types</t>
  </si>
  <si>
    <t>Classes</t>
  </si>
  <si>
    <t>Specific Gravities</t>
  </si>
  <si>
    <t>Admixture</t>
  </si>
  <si>
    <t>CO2</t>
  </si>
  <si>
    <t>Design Slump (in)</t>
  </si>
  <si>
    <t>Fiber</t>
  </si>
  <si>
    <t>% of total water</t>
  </si>
  <si>
    <t>% of C</t>
  </si>
  <si>
    <t>Recycled Water</t>
  </si>
  <si>
    <t>W1</t>
  </si>
  <si>
    <t>W2</t>
  </si>
  <si>
    <t>Sack Content</t>
  </si>
  <si>
    <t>Theoretical Volume (CF)</t>
  </si>
  <si>
    <t>Total Cementitious or CM (lb)</t>
  </si>
  <si>
    <t>Theoretical Unit Weight (lb/CF)</t>
  </si>
  <si>
    <t>Paste Content (%)</t>
  </si>
  <si>
    <t>Measured Unit Weight (lb/CF)</t>
  </si>
  <si>
    <t>GGBFS</t>
  </si>
  <si>
    <t>Silica Fume</t>
  </si>
  <si>
    <t>Fly Ash</t>
  </si>
  <si>
    <t>Volumes (CF/CY)</t>
  </si>
  <si>
    <t>Units per CY</t>
  </si>
  <si>
    <t>Total Volumes (CF)</t>
  </si>
  <si>
    <t>Unit Volumes (CF)</t>
  </si>
  <si>
    <t>Volume Ratios (%)</t>
  </si>
  <si>
    <t>Absorptions %</t>
  </si>
  <si>
    <t>Moisture Corrected Batch Amounts</t>
  </si>
  <si>
    <t>INSERT VALUES ONLY IN YELLOW CELLS WITH SIMILAR FORMAT.</t>
  </si>
  <si>
    <t>DON'T TOUCH CELLS IN RED FONT WITH SIMILAR FORMAT.</t>
  </si>
  <si>
    <t>SELECT ADMIXTURE UNITS FROM THE LIST</t>
  </si>
  <si>
    <t>Admixture units</t>
  </si>
  <si>
    <t>Manufacturer</t>
  </si>
  <si>
    <t>20CM111BE</t>
  </si>
  <si>
    <t>Beverly Material</t>
  </si>
  <si>
    <t>020cm11 Beverly Material</t>
  </si>
  <si>
    <t>20CM111MA</t>
  </si>
  <si>
    <t>Meyer Material</t>
  </si>
  <si>
    <t>020cm1101 Meyer Algonquin 51110-07</t>
  </si>
  <si>
    <t>20CM111MM</t>
  </si>
  <si>
    <t>020cm1101 Meyer Mchenry 51110-11</t>
  </si>
  <si>
    <t>20CM111SAB</t>
  </si>
  <si>
    <t>Super Agg - 50070-14</t>
  </si>
  <si>
    <t>020cm1101 Super Belvidere 50070-14</t>
  </si>
  <si>
    <t>20CM11MR</t>
  </si>
  <si>
    <t>020cm11 Meyer Marengo 51110-03</t>
  </si>
  <si>
    <t>20CM11OH</t>
  </si>
  <si>
    <t>Ozinga</t>
  </si>
  <si>
    <t>020cm11 Ozinga Henry 51230-27</t>
  </si>
  <si>
    <t>20CM11SM</t>
  </si>
  <si>
    <t>Marengo Materials</t>
  </si>
  <si>
    <t>020cm11 Marengo Marengo 51110-39</t>
  </si>
  <si>
    <t>20CM161BE</t>
  </si>
  <si>
    <t>020cm1601 Beverly Elgin 50890-22</t>
  </si>
  <si>
    <t>20CM161MM</t>
  </si>
  <si>
    <t>020cm1601 Meyer Mchenry 51110-07</t>
  </si>
  <si>
    <t>20CM161SB</t>
  </si>
  <si>
    <t>Super Agggregates</t>
  </si>
  <si>
    <t>020cm1601 Super Belvidere 50070-14</t>
  </si>
  <si>
    <t>020cm16 Meyer Marengo 51110-03</t>
  </si>
  <si>
    <t>20CM16OC</t>
  </si>
  <si>
    <t>020cm16 Ozinga Channahon 51970-39</t>
  </si>
  <si>
    <t>21CA11OC</t>
  </si>
  <si>
    <t>021ca11 Ozinga Channahon 51970-39</t>
  </si>
  <si>
    <t>22CM111BB</t>
  </si>
  <si>
    <t>022cm1101 Beverly Belvidere 50072-16</t>
  </si>
  <si>
    <t>22CM111HF</t>
  </si>
  <si>
    <t>Hanson</t>
  </si>
  <si>
    <t>022cm1101 Hanson Federal 50312-02</t>
  </si>
  <si>
    <t>22CM111HR</t>
  </si>
  <si>
    <t>022cm1101 Hanson Romeoville 51972-02</t>
  </si>
  <si>
    <t>22CM111LF</t>
  </si>
  <si>
    <t>Lafarge</t>
  </si>
  <si>
    <t>022cm1101 Lafarge Fox River 50892-02</t>
  </si>
  <si>
    <t>22CM111LL</t>
  </si>
  <si>
    <t>Lafarge Lisbon</t>
  </si>
  <si>
    <t>022cm1101 Lafarge Lisbon 50932-03</t>
  </si>
  <si>
    <t>22CM111R3S</t>
  </si>
  <si>
    <t>Rockton Rock</t>
  </si>
  <si>
    <t>022cm1101 3s Rockton 52012-02</t>
  </si>
  <si>
    <t>22CM111VB</t>
  </si>
  <si>
    <t>022cm1101 Vulcan Bartlett 50312-90</t>
  </si>
  <si>
    <t>22CM111VMC</t>
  </si>
  <si>
    <t>022cm1101 Vulcan Mccook 50312-78</t>
  </si>
  <si>
    <t>22CM111VMT</t>
  </si>
  <si>
    <t>022cm1101 Vulcan Manteno 50912-04</t>
  </si>
  <si>
    <t>22CM111VS</t>
  </si>
  <si>
    <t>022cm1101 Vulcan Sycamore 50372-01</t>
  </si>
  <si>
    <t>22CM11BHT</t>
  </si>
  <si>
    <t>022cm11bd Hanson Thornton 50312-04</t>
  </si>
  <si>
    <t>HMC Thorton</t>
  </si>
  <si>
    <t>HMS</t>
  </si>
  <si>
    <t>22CM11BLC</t>
  </si>
  <si>
    <t>Lafarge Conco</t>
  </si>
  <si>
    <t>022cm11bd Lafarge Conco 50892-01</t>
  </si>
  <si>
    <t>22CM11BLJ</t>
  </si>
  <si>
    <t>022cm11bd Lafarge Joliet 51972-15</t>
  </si>
  <si>
    <t>22CM11BPM</t>
  </si>
  <si>
    <t>Prairie Materials</t>
  </si>
  <si>
    <t>022cm11bd Prairie Manteno 50912-06</t>
  </si>
  <si>
    <t>22CM11OVMC</t>
  </si>
  <si>
    <t>022cm11o Vulcan Mccook 50312-78</t>
  </si>
  <si>
    <t>22CM11VRFT</t>
  </si>
  <si>
    <t>Vulcan Romeoville</t>
  </si>
  <si>
    <t>022cm11ft Vulcan Romeoville 51972-04</t>
  </si>
  <si>
    <t>22CM11VS</t>
  </si>
  <si>
    <t>022cm11 Vulcan Materials 50372-01</t>
  </si>
  <si>
    <t>22CM131HT</t>
  </si>
  <si>
    <t>022cm1301 Hanson Thornton 50312-04</t>
  </si>
  <si>
    <t>22CM161HR</t>
  </si>
  <si>
    <t>HMS Romeoville</t>
  </si>
  <si>
    <t>022cm1601 Hanson Romeoville</t>
  </si>
  <si>
    <t>22CM161LF</t>
  </si>
  <si>
    <t>022cm1601 Lafarge Fox River 50892-02</t>
  </si>
  <si>
    <t>22CM161VMC</t>
  </si>
  <si>
    <t>022cm1601 Vulcan Mccook 50312-78</t>
  </si>
  <si>
    <t>27FM01GC</t>
  </si>
  <si>
    <t>Galena Road Gravel</t>
  </si>
  <si>
    <t>027fm01 Galena Chillicothe 51430-19</t>
  </si>
  <si>
    <t>Ozinga Henry</t>
  </si>
  <si>
    <t>027fm01 Ozinga Henry 51230-27</t>
  </si>
  <si>
    <t>27FM01RGR</t>
  </si>
  <si>
    <t>Rogers Sand And Gravel</t>
  </si>
  <si>
    <t>027fm01 Rogers Roscoe 52010-92</t>
  </si>
  <si>
    <t>27FM02AS</t>
  </si>
  <si>
    <t>027fm02 Arrow Belvidere 50070-13</t>
  </si>
  <si>
    <t>27FM02BE</t>
  </si>
  <si>
    <t>027fm02 Beverly Elgin 50890-22</t>
  </si>
  <si>
    <t>27FM02FR</t>
  </si>
  <si>
    <t>Fox Ridge Stone Co.</t>
  </si>
  <si>
    <t>027fm02 Fox Ridge Oswego 50930-08</t>
  </si>
  <si>
    <t>27FM02LE</t>
  </si>
  <si>
    <t>Lafarge Elburn</t>
  </si>
  <si>
    <t>027fm02 Lafarge Elburn 50890-27</t>
  </si>
  <si>
    <t>27FM02MA</t>
  </si>
  <si>
    <t>027fm02 Meyer Algonquin 51110-07</t>
  </si>
  <si>
    <t>27FM02MM</t>
  </si>
  <si>
    <t>027fm02 Meyer Mchenry 51110-11</t>
  </si>
  <si>
    <t>27FM02MN</t>
  </si>
  <si>
    <t>Moose Lake</t>
  </si>
  <si>
    <t>027fm02 Moose Lake Niles 52600-06</t>
  </si>
  <si>
    <t>27FM02MR</t>
  </si>
  <si>
    <t>027fm02 Meyer Marengo 51110-03</t>
  </si>
  <si>
    <t>27FM02SAB</t>
  </si>
  <si>
    <t>No. 2 Natural Sand</t>
  </si>
  <si>
    <t>27FM02SM</t>
  </si>
  <si>
    <t>027fm02 Marengo Mat Marengo 51110-39</t>
  </si>
  <si>
    <t>27FM02SW</t>
  </si>
  <si>
    <t>027fm02 Super Agg Woodstock 51110-62</t>
  </si>
  <si>
    <t>27FM02TA</t>
  </si>
  <si>
    <t>Thelen</t>
  </si>
  <si>
    <t>027fm02 Thelen Antioch 50970-01</t>
  </si>
  <si>
    <t>27FM02TH</t>
  </si>
  <si>
    <t>027fm02 Tricon Hennepin 51550-07</t>
  </si>
  <si>
    <t>27FM02TP</t>
  </si>
  <si>
    <t>027fm02 Thelen Petersen 51110-09</t>
  </si>
  <si>
    <t>28FM20VM</t>
  </si>
  <si>
    <t>028fm20 Vulcan Mccook 50319-08</t>
  </si>
  <si>
    <t>28FM20VMC</t>
  </si>
  <si>
    <t>28fm20vmc</t>
  </si>
  <si>
    <t>29FM01OC</t>
  </si>
  <si>
    <t>029fm01 Ozinga Channahon 51970-39</t>
  </si>
  <si>
    <t>29FM20HR</t>
  </si>
  <si>
    <t>MS/Hanson</t>
  </si>
  <si>
    <t>029fm20 Hanson Romeoville 51972-02</t>
  </si>
  <si>
    <t>29FM20HRCB</t>
  </si>
  <si>
    <t>Cb 029fm20 Hanson Romeoville 51972-02</t>
  </si>
  <si>
    <t>AE-7000</t>
  </si>
  <si>
    <t>Air Entrainer</t>
  </si>
  <si>
    <t>GCP Applied Technologies</t>
  </si>
  <si>
    <t>Air Entrainer GCP Airalon 7000</t>
  </si>
  <si>
    <t>AE-AIR7</t>
  </si>
  <si>
    <t>AE-DX2</t>
  </si>
  <si>
    <t>Air Entrainer GCP Darex Ii</t>
  </si>
  <si>
    <t>CA-BGR15CL</t>
  </si>
  <si>
    <t>Consolidated Materials</t>
  </si>
  <si>
    <t>Consolidated Marengo 1.5" Gravel</t>
  </si>
  <si>
    <t>CA-BGR15TA</t>
  </si>
  <si>
    <t>Thelen 1.5" Gravel</t>
  </si>
  <si>
    <t>CA1120RR</t>
  </si>
  <si>
    <t>Rogers Roscoe 3/4" Gravel</t>
  </si>
  <si>
    <t>CABGR34OC</t>
  </si>
  <si>
    <t>020cm11 Ozinga Chanahon 51970-39</t>
  </si>
  <si>
    <t>CABGR34OH</t>
  </si>
  <si>
    <t>CALAFM</t>
  </si>
  <si>
    <t>Lafarge Manitoulin</t>
  </si>
  <si>
    <t>CALST15HR</t>
  </si>
  <si>
    <t>Hanson Romeoville 1.5" Lst 51972-02</t>
  </si>
  <si>
    <t>Hanson Thornton 1.5" Lst 50312-04</t>
  </si>
  <si>
    <t>CALST15LC</t>
  </si>
  <si>
    <t>Lafarge Conco 1.5" Lst 50892-01</t>
  </si>
  <si>
    <t>CALST15LJ</t>
  </si>
  <si>
    <t>Lafarge Joliet 1.5" Lst 51972-15</t>
  </si>
  <si>
    <t>CALST15PM</t>
  </si>
  <si>
    <t>Prairie Manteno 1.5" Lst 50912-06</t>
  </si>
  <si>
    <t>CALST15VBB</t>
  </si>
  <si>
    <t>Vulcan Bolingbrook 1.5" Lst 51972-09</t>
  </si>
  <si>
    <t>CALST15VL</t>
  </si>
  <si>
    <t>Vulcan Lemont</t>
  </si>
  <si>
    <t>Vulcan Romeoville 1.5" Lst 51972-04</t>
  </si>
  <si>
    <t>CALST15VMC</t>
  </si>
  <si>
    <t>Vulcan 1.5" Lst 50312-78</t>
  </si>
  <si>
    <t>CALST15VS</t>
  </si>
  <si>
    <t>Vulcan Sycamore 1.5" Limestone</t>
  </si>
  <si>
    <t>CALST15WM</t>
  </si>
  <si>
    <t>Wagner Monroe</t>
  </si>
  <si>
    <t>Wagner Monroe 1.5" Limestone</t>
  </si>
  <si>
    <t>CAPGR38LE</t>
  </si>
  <si>
    <t>020cm16 Lafarge Elburn 50890-27</t>
  </si>
  <si>
    <t>CAPGR38OC</t>
  </si>
  <si>
    <t>020cm16 Ozinga Chanahon 51970-39</t>
  </si>
  <si>
    <t>CAPGR38OH</t>
  </si>
  <si>
    <t>020cm16 Ozinga Henry 51230-27</t>
  </si>
  <si>
    <t>CARBON CURE</t>
  </si>
  <si>
    <t>Carbon Cure</t>
  </si>
  <si>
    <t>CEM-BUZ1LS</t>
  </si>
  <si>
    <t>Type IL</t>
  </si>
  <si>
    <t>Buzzi Festus 1ls Cement</t>
  </si>
  <si>
    <t>Type I-II</t>
  </si>
  <si>
    <t>CEM-BUZF1L</t>
  </si>
  <si>
    <t>Buzzi Festus 1l Cement</t>
  </si>
  <si>
    <t>CEM-BUZG1L</t>
  </si>
  <si>
    <t>Buzzi Greencastle 1l Cement</t>
  </si>
  <si>
    <t>Carbonsense Cement</t>
  </si>
  <si>
    <t>Lafarge Holcim</t>
  </si>
  <si>
    <t>Holcim Ste Genevieve 1l Cement</t>
  </si>
  <si>
    <t>Illinois Cement</t>
  </si>
  <si>
    <t>CEM-ILL1L</t>
  </si>
  <si>
    <t>Illinois Lasalle 1l</t>
  </si>
  <si>
    <t>CEM-LAFA1L</t>
  </si>
  <si>
    <t>Lafarge Alpena 1l Cement</t>
  </si>
  <si>
    <t>CEM-NUH</t>
  </si>
  <si>
    <t>Nuh Cement Industry</t>
  </si>
  <si>
    <t>Nuh Cement</t>
  </si>
  <si>
    <t>CEM-STMC1L</t>
  </si>
  <si>
    <t>St. Mary'S Cement</t>
  </si>
  <si>
    <t>St Mary'S Charlevoix 1l Cement</t>
  </si>
  <si>
    <t>Type S Specific Performance</t>
  </si>
  <si>
    <t>Carbon Sense Finishing Enhancer</t>
  </si>
  <si>
    <t>DCI</t>
  </si>
  <si>
    <t>Corrosion Inhibitor</t>
  </si>
  <si>
    <t>Corrosion Inhibitor GCP Dci</t>
  </si>
  <si>
    <t>ECLIPSE</t>
  </si>
  <si>
    <t>Shrinkage Reducer</t>
  </si>
  <si>
    <t>GCP Eclipse</t>
  </si>
  <si>
    <t>Eclipse 4500 Gl/Cy</t>
  </si>
  <si>
    <t>F-100</t>
  </si>
  <si>
    <t>Viscosity Modifier</t>
  </si>
  <si>
    <t>Rheology Modifying GCP F-100</t>
  </si>
  <si>
    <t>FIBERS</t>
  </si>
  <si>
    <t>Fibers</t>
  </si>
  <si>
    <t>Liquid Fiber Stealth Eq</t>
  </si>
  <si>
    <t>FLY-950C</t>
  </si>
  <si>
    <t>Fly Ash F</t>
  </si>
  <si>
    <t>Fly Ash Ozinga Skyway</t>
  </si>
  <si>
    <t>Ozinga Class F Fly Ash</t>
  </si>
  <si>
    <t>FLY-BORWH</t>
  </si>
  <si>
    <t>Fly Ash C</t>
  </si>
  <si>
    <t>Boral Resources</t>
  </si>
  <si>
    <t>Boral Wheatfield Fly Ash</t>
  </si>
  <si>
    <t>FLY-BORWHF</t>
  </si>
  <si>
    <t>Boral Resources Fly Ash</t>
  </si>
  <si>
    <t>FLY-CHCA</t>
  </si>
  <si>
    <t>Charah Inc.</t>
  </si>
  <si>
    <t>Cayuga Class F Fly Ash</t>
  </si>
  <si>
    <t>FLY-DALOZ</t>
  </si>
  <si>
    <t>Ozinga Cwlp Class F Fly Ash</t>
  </si>
  <si>
    <t>FLY-EMTW</t>
  </si>
  <si>
    <t>Eco Material Technology</t>
  </si>
  <si>
    <t>Eco Material Wheatfield Class F Fly Ash</t>
  </si>
  <si>
    <t>FLY-LAFELM</t>
  </si>
  <si>
    <t>#Lafarge Elm Road Fly Ash#</t>
  </si>
  <si>
    <t>FLY-LAFER</t>
  </si>
  <si>
    <t>Lafarge Elm Road Fly Ash</t>
  </si>
  <si>
    <t>FLY-LAFOC</t>
  </si>
  <si>
    <t>Lafarge Oak Creek Fly Ash</t>
  </si>
  <si>
    <t>FLY-MIAF</t>
  </si>
  <si>
    <t>Miami Fort Station Oh</t>
  </si>
  <si>
    <t>Miami Fort Station Class F Fly Ash</t>
  </si>
  <si>
    <t>FLY-NEWT</t>
  </si>
  <si>
    <t>Ameren Power Station</t>
  </si>
  <si>
    <t>Newton Class C Fly Ash</t>
  </si>
  <si>
    <t>FLY-OZBR</t>
  </si>
  <si>
    <t>Belle River Class C Fly Ash</t>
  </si>
  <si>
    <t>Ozinga Cement</t>
  </si>
  <si>
    <t>Ozinga Joppa Class C Fly Ash</t>
  </si>
  <si>
    <t>FLY-OZML</t>
  </si>
  <si>
    <t>Martin Lake</t>
  </si>
  <si>
    <t>HR-A575</t>
  </si>
  <si>
    <t>Type F High Range Water Reducer</t>
  </si>
  <si>
    <t>High Range Wr GCP Adva 575</t>
  </si>
  <si>
    <t>HR-A600</t>
  </si>
  <si>
    <t>High Range Wr GCP Adva 600</t>
  </si>
  <si>
    <t>LC</t>
  </si>
  <si>
    <t>Calcium Chloride Accelerator</t>
  </si>
  <si>
    <t>Liquid Chloride</t>
  </si>
  <si>
    <t>LQFIBER</t>
  </si>
  <si>
    <t>GCP Fds2219 Liquid Fiber</t>
  </si>
  <si>
    <t>MIC-SID</t>
  </si>
  <si>
    <t>Star Industrial</t>
  </si>
  <si>
    <t>Star Industrial Microsilica Fume</t>
  </si>
  <si>
    <t>MR-M110</t>
  </si>
  <si>
    <t>Multi-Range Water Reducer</t>
  </si>
  <si>
    <t>Mid Range Wr GCP Mira 110</t>
  </si>
  <si>
    <t>NCAD</t>
  </si>
  <si>
    <t>Non-Chloride Accelerator</t>
  </si>
  <si>
    <t>Non-Chloride Accl GCP Dci</t>
  </si>
  <si>
    <t>NCAE</t>
  </si>
  <si>
    <t>Non-Chloride Accl GCP Daraset</t>
  </si>
  <si>
    <t>NCAO</t>
  </si>
  <si>
    <t>Non-Chloride Accl Ozset2</t>
  </si>
  <si>
    <t>OZ-FE</t>
  </si>
  <si>
    <t>Ozinga Finishing Enhancer</t>
  </si>
  <si>
    <t>OZSHIELD</t>
  </si>
  <si>
    <t>Water Repellent</t>
  </si>
  <si>
    <t>Ozinga Shield</t>
  </si>
  <si>
    <t>OZSHIELD4</t>
  </si>
  <si>
    <t>Ozinga Shield 4000 Psi</t>
  </si>
  <si>
    <t>OZSHIELD45</t>
  </si>
  <si>
    <t>Ozinga Shield 4500 Psi</t>
  </si>
  <si>
    <t>SLG-ANSHN</t>
  </si>
  <si>
    <t>Anshan Steel &amp; Iron</t>
  </si>
  <si>
    <t>Anshan Slag Cement</t>
  </si>
  <si>
    <t>SLG-CSC</t>
  </si>
  <si>
    <t>SLG-NCM</t>
  </si>
  <si>
    <t>Holcim Newcem - Grade 100</t>
  </si>
  <si>
    <t>Illinios Skyway Cement</t>
  </si>
  <si>
    <t>SND-NS-SAB</t>
  </si>
  <si>
    <t>Super Sand</t>
  </si>
  <si>
    <t>V-MAR</t>
  </si>
  <si>
    <t>Viscosity Modifier GCP Vmar3</t>
  </si>
  <si>
    <t>WR-82</t>
  </si>
  <si>
    <t>Type A Water Reducer</t>
  </si>
  <si>
    <t>Water Reducer GCP Wrda 82</t>
  </si>
  <si>
    <t>WR-Z630</t>
  </si>
  <si>
    <t>Type A &amp; D Water Reducer</t>
  </si>
  <si>
    <t>Water Reducer GCP Zyla 630</t>
  </si>
  <si>
    <t>WRR-REC</t>
  </si>
  <si>
    <t>Type D Water Reducer &amp; Retarder</t>
  </si>
  <si>
    <t>Retarder GCP Recover</t>
  </si>
  <si>
    <t>XSEED</t>
  </si>
  <si>
    <t>Strength Enhancing Admixture</t>
  </si>
  <si>
    <t>BASF</t>
  </si>
  <si>
    <t>Strength Enhancer</t>
  </si>
  <si>
    <t>CarbonSense Cement</t>
  </si>
  <si>
    <t>Types</t>
  </si>
  <si>
    <t>Carbonsense GGBFS</t>
  </si>
  <si>
    <t>Skyway GGBFS Cement</t>
  </si>
  <si>
    <t>Mix</t>
  </si>
  <si>
    <t>Admixture_Units</t>
  </si>
  <si>
    <t>Materials_List</t>
  </si>
  <si>
    <t>Materials_Types</t>
  </si>
  <si>
    <t>Materials_Names</t>
  </si>
  <si>
    <t>Materials_SPG</t>
  </si>
  <si>
    <t>Batch</t>
  </si>
  <si>
    <t>Volumes</t>
  </si>
  <si>
    <t>COA</t>
  </si>
  <si>
    <t>Time</t>
  </si>
  <si>
    <t>Truck # (if any)</t>
  </si>
  <si>
    <t>Ticket # (if any)</t>
  </si>
  <si>
    <t>Plant # (if any)</t>
  </si>
  <si>
    <t>Trucked Volume in CY (if any)</t>
  </si>
  <si>
    <t>Mix Design #</t>
  </si>
  <si>
    <t>Design Air (%)</t>
  </si>
  <si>
    <t>Measured Air (%)</t>
  </si>
  <si>
    <t>Lab Temperature (F)</t>
  </si>
  <si>
    <t>Concrete Temperature (F)</t>
  </si>
  <si>
    <t>Lab Batch Volume (CF)</t>
  </si>
  <si>
    <t>Date</t>
  </si>
  <si>
    <t>Project Title and Description</t>
  </si>
  <si>
    <t>SELECT MATERIALS TYPES, NAMES, &amp; SPECIFIC GRAVITIES FROM THE LIST</t>
  </si>
  <si>
    <t>DON'T TOUCH CELLS IN RED
FONT WITH SIMILAR FORMAT.</t>
  </si>
  <si>
    <t>INSERT VALUES ONLY IN YELLOW
CELLS WITH SIMILAR FORMAT.</t>
  </si>
  <si>
    <t>Amounts</t>
  </si>
  <si>
    <t>Mortar/Paste: per chosen volume</t>
  </si>
  <si>
    <t>Amounts_Units</t>
  </si>
  <si>
    <t>Amounts units</t>
  </si>
  <si>
    <t>gr</t>
  </si>
  <si>
    <t>Concrete: lb, oz/cwt, etc.</t>
  </si>
  <si>
    <t>Mortar/Paste: gr and ml</t>
  </si>
  <si>
    <t>Mortar/Paste: gr</t>
  </si>
  <si>
    <t>Concrete (SSD): lb/CY</t>
  </si>
  <si>
    <t>Total Weights</t>
  </si>
  <si>
    <t>2x4</t>
  </si>
  <si>
    <t>Cubes</t>
  </si>
  <si>
    <t>2x2</t>
  </si>
  <si>
    <t>% of CM</t>
  </si>
  <si>
    <t>Project Title/Description</t>
  </si>
  <si>
    <t>Mix Type</t>
  </si>
  <si>
    <t>Mix_Type</t>
  </si>
  <si>
    <t>Mix type</t>
  </si>
  <si>
    <t>Concrete</t>
  </si>
  <si>
    <t>Mortar or Paste</t>
  </si>
  <si>
    <t>Concrete: SSD per CY</t>
  </si>
  <si>
    <r>
      <t xml:space="preserve">Design and Batch Proportions </t>
    </r>
    <r>
      <rPr>
        <b/>
        <sz val="12"/>
        <color rgb="FFFF0000"/>
        <rFont val="Calibri"/>
        <family val="2"/>
        <scheme val="minor"/>
      </rPr>
      <t>(Concrete: SSD per CY) [Mortar or Paste: per chosen volume]</t>
    </r>
  </si>
  <si>
    <t>Mortar Flow</t>
  </si>
  <si>
    <t>SELECT VALUES, UNITS, NAMES, TYPES, etc. IN THIS TYPE FORMATED CELLS.</t>
  </si>
  <si>
    <t>Concrete Design Air (%)</t>
  </si>
  <si>
    <t>Concrete Design Slump (in)</t>
  </si>
  <si>
    <t>Mortar Mold Numbers</t>
  </si>
  <si>
    <t xml:space="preserve">Total Required Volume (CF) + 20% </t>
  </si>
  <si>
    <t>Replacement (%)</t>
  </si>
  <si>
    <t>Test-0</t>
  </si>
  <si>
    <t>Test-1</t>
  </si>
  <si>
    <r>
      <t>Additional info:</t>
    </r>
    <r>
      <rPr>
        <b/>
        <sz val="11"/>
        <color rgb="FF00B0F0"/>
        <rFont val="Calibri"/>
        <family val="2"/>
        <scheme val="minor"/>
      </rPr>
      <t xml:space="preserve"> This is just to check the template.</t>
    </r>
  </si>
  <si>
    <t>Chosen BATCH Volume (CF)
for Concrete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</si>
</sst>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%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6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1"/>
      </top>
      <bottom/>
      <diagonal/>
    </border>
    <border>
      <left/>
      <right style="medium">
        <color auto="1"/>
      </right>
      <top style="thin">
        <color theme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96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9" fillId="3" borderId="30" applyNumberFormat="0" applyAlignment="0" applyProtection="0"/>
    <xf numFmtId="9" fontId="11" fillId="0" borderId="0" applyFont="0" applyFill="0" applyBorder="0" applyAlignment="0" applyProtection="0"/>
    <xf numFmtId="0" fontId="16" fillId="4" borderId="0" applyNumberFormat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2" fontId="12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9" fontId="13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7" fontId="0" fillId="0" borderId="0" xfId="964" applyNumberFormat="1" applyFont="1" applyAlignment="1">
      <alignment horizontal="center" vertical="center"/>
    </xf>
    <xf numFmtId="2" fontId="5" fillId="0" borderId="0" xfId="964" applyNumberFormat="1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39" xfId="963" applyFont="1" applyFill="1" applyBorder="1" applyAlignment="1" applyProtection="1">
      <alignment horizontal="center" vertical="center"/>
      <protection locked="0"/>
    </xf>
    <xf numFmtId="0" fontId="5" fillId="5" borderId="17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40" xfId="0" applyFont="1" applyFill="1" applyBorder="1" applyAlignment="1">
      <alignment horizontal="center" vertical="center"/>
    </xf>
    <xf numFmtId="165" fontId="5" fillId="5" borderId="21" xfId="0" applyNumberFormat="1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165" fontId="5" fillId="5" borderId="12" xfId="0" applyNumberFormat="1" applyFont="1" applyFill="1" applyBorder="1" applyAlignment="1">
      <alignment horizontal="center" vertical="center"/>
    </xf>
    <xf numFmtId="2" fontId="5" fillId="5" borderId="12" xfId="0" applyNumberFormat="1" applyFont="1" applyFill="1" applyBorder="1" applyAlignment="1">
      <alignment horizontal="center" vertical="center"/>
    </xf>
    <xf numFmtId="2" fontId="5" fillId="5" borderId="6" xfId="0" applyNumberFormat="1" applyFont="1" applyFill="1" applyBorder="1" applyAlignment="1">
      <alignment horizontal="center" vertical="center"/>
    </xf>
    <xf numFmtId="2" fontId="5" fillId="5" borderId="2" xfId="0" applyNumberFormat="1" applyFont="1" applyFill="1" applyBorder="1" applyAlignment="1">
      <alignment horizontal="center" vertical="center"/>
    </xf>
    <xf numFmtId="2" fontId="5" fillId="5" borderId="34" xfId="0" applyNumberFormat="1" applyFont="1" applyFill="1" applyBorder="1" applyAlignment="1">
      <alignment horizontal="center" vertical="center"/>
    </xf>
    <xf numFmtId="2" fontId="5" fillId="5" borderId="3" xfId="0" applyNumberFormat="1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16" xfId="963" applyFont="1" applyFill="1" applyBorder="1" applyAlignment="1" applyProtection="1">
      <alignment horizontal="center" vertical="center"/>
      <protection locked="0"/>
    </xf>
    <xf numFmtId="2" fontId="5" fillId="5" borderId="36" xfId="0" applyNumberFormat="1" applyFont="1" applyFill="1" applyBorder="1" applyAlignment="1">
      <alignment horizontal="center" vertical="center"/>
    </xf>
    <xf numFmtId="2" fontId="5" fillId="5" borderId="32" xfId="0" applyNumberFormat="1" applyFont="1" applyFill="1" applyBorder="1" applyAlignment="1">
      <alignment horizontal="center" vertical="center"/>
    </xf>
    <xf numFmtId="0" fontId="13" fillId="5" borderId="43" xfId="0" applyFont="1" applyFill="1" applyBorder="1" applyAlignment="1">
      <alignment horizontal="center" vertical="center"/>
    </xf>
    <xf numFmtId="0" fontId="13" fillId="5" borderId="44" xfId="0" applyFont="1" applyFill="1" applyBorder="1" applyAlignment="1">
      <alignment horizontal="center" vertical="center"/>
    </xf>
    <xf numFmtId="0" fontId="13" fillId="5" borderId="45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46" xfId="0" applyFont="1" applyFill="1" applyBorder="1" applyAlignment="1">
      <alignment horizontal="center" vertical="center"/>
    </xf>
    <xf numFmtId="0" fontId="13" fillId="5" borderId="50" xfId="963" applyFont="1" applyFill="1" applyBorder="1" applyAlignment="1" applyProtection="1">
      <alignment horizontal="center" vertical="center"/>
      <protection locked="0"/>
    </xf>
    <xf numFmtId="0" fontId="13" fillId="5" borderId="18" xfId="0" applyFont="1" applyFill="1" applyBorder="1" applyAlignment="1">
      <alignment horizontal="center" vertical="center"/>
    </xf>
    <xf numFmtId="2" fontId="5" fillId="5" borderId="38" xfId="0" applyNumberFormat="1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8" fillId="0" borderId="41" xfId="0" applyFont="1" applyBorder="1"/>
    <xf numFmtId="0" fontId="0" fillId="0" borderId="51" xfId="0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6" fillId="0" borderId="31" xfId="963" applyFont="1" applyFill="1" applyBorder="1" applyAlignment="1" applyProtection="1">
      <alignment horizontal="center" vertical="center"/>
      <protection locked="0"/>
    </xf>
    <xf numFmtId="0" fontId="8" fillId="0" borderId="21" xfId="0" applyFont="1" applyBorder="1" applyAlignment="1">
      <alignment horizontal="center" vertical="center"/>
    </xf>
    <xf numFmtId="0" fontId="6" fillId="0" borderId="21" xfId="963" applyFont="1" applyFill="1" applyBorder="1" applyAlignment="1" applyProtection="1">
      <alignment horizontal="center" vertical="center"/>
      <protection locked="0"/>
    </xf>
    <xf numFmtId="0" fontId="8" fillId="0" borderId="42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2" borderId="0" xfId="0" applyFill="1"/>
    <xf numFmtId="0" fontId="5" fillId="5" borderId="55" xfId="0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13" fillId="5" borderId="55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56" xfId="0" applyFont="1" applyFill="1" applyBorder="1" applyAlignment="1">
      <alignment horizontal="center" vertical="center"/>
    </xf>
    <xf numFmtId="0" fontId="13" fillId="5" borderId="57" xfId="0" applyFont="1" applyFill="1" applyBorder="1" applyAlignment="1">
      <alignment horizontal="center" vertical="center"/>
    </xf>
    <xf numFmtId="0" fontId="13" fillId="5" borderId="40" xfId="963" applyFont="1" applyFill="1" applyBorder="1" applyAlignment="1" applyProtection="1">
      <alignment horizontal="center" vertical="center"/>
      <protection locked="0"/>
    </xf>
    <xf numFmtId="0" fontId="13" fillId="5" borderId="38" xfId="963" applyFont="1" applyFill="1" applyBorder="1" applyAlignment="1" applyProtection="1">
      <alignment horizontal="center" vertical="center"/>
      <protection locked="0"/>
    </xf>
    <xf numFmtId="0" fontId="5" fillId="5" borderId="58" xfId="0" applyFont="1" applyFill="1" applyBorder="1" applyAlignment="1">
      <alignment horizontal="center" vertical="center"/>
    </xf>
    <xf numFmtId="0" fontId="5" fillId="5" borderId="52" xfId="0" applyFont="1" applyFill="1" applyBorder="1" applyAlignment="1">
      <alignment horizontal="center" vertical="center"/>
    </xf>
    <xf numFmtId="0" fontId="5" fillId="5" borderId="53" xfId="0" applyFont="1" applyFill="1" applyBorder="1" applyAlignment="1">
      <alignment horizontal="center" vertical="center"/>
    </xf>
    <xf numFmtId="165" fontId="5" fillId="5" borderId="29" xfId="0" applyNumberFormat="1" applyFont="1" applyFill="1" applyBorder="1" applyAlignment="1">
      <alignment horizontal="center" vertical="center"/>
    </xf>
    <xf numFmtId="0" fontId="20" fillId="6" borderId="12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 applyProtection="1">
      <alignment horizontal="center" vertical="center"/>
      <protection locked="0"/>
    </xf>
    <xf numFmtId="0" fontId="6" fillId="6" borderId="12" xfId="0" applyFont="1" applyFill="1" applyBorder="1" applyAlignment="1">
      <alignment horizontal="center" vertical="center" wrapText="1"/>
    </xf>
    <xf numFmtId="2" fontId="5" fillId="5" borderId="22" xfId="0" applyNumberFormat="1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5" fillId="7" borderId="38" xfId="963" applyFont="1" applyFill="1" applyBorder="1" applyAlignment="1" applyProtection="1">
      <alignment horizontal="center" vertical="center"/>
      <protection locked="0"/>
    </xf>
    <xf numFmtId="0" fontId="18" fillId="7" borderId="21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8" fillId="7" borderId="29" xfId="0" applyFont="1" applyFill="1" applyBorder="1" applyAlignment="1">
      <alignment horizontal="center" vertical="center"/>
    </xf>
    <xf numFmtId="0" fontId="15" fillId="7" borderId="13" xfId="963" applyFont="1" applyFill="1" applyBorder="1" applyAlignment="1" applyProtection="1">
      <alignment horizontal="center" vertical="center"/>
      <protection locked="0"/>
    </xf>
    <xf numFmtId="0" fontId="15" fillId="7" borderId="11" xfId="963" applyFont="1" applyFill="1" applyBorder="1" applyAlignment="1" applyProtection="1">
      <alignment horizontal="center" vertical="center"/>
      <protection locked="0"/>
    </xf>
    <xf numFmtId="2" fontId="5" fillId="5" borderId="42" xfId="0" applyNumberFormat="1" applyFont="1" applyFill="1" applyBorder="1" applyAlignment="1">
      <alignment horizontal="center" vertical="center"/>
    </xf>
    <xf numFmtId="2" fontId="5" fillId="5" borderId="54" xfId="0" applyNumberFormat="1" applyFont="1" applyFill="1" applyBorder="1" applyAlignment="1">
      <alignment horizontal="center" vertical="center"/>
    </xf>
    <xf numFmtId="166" fontId="5" fillId="5" borderId="17" xfId="0" applyNumberFormat="1" applyFont="1" applyFill="1" applyBorder="1" applyAlignment="1">
      <alignment horizontal="center" vertical="center"/>
    </xf>
    <xf numFmtId="166" fontId="5" fillId="5" borderId="31" xfId="0" applyNumberFormat="1" applyFont="1" applyFill="1" applyBorder="1" applyAlignment="1">
      <alignment horizontal="center" vertical="center"/>
    </xf>
    <xf numFmtId="166" fontId="5" fillId="5" borderId="40" xfId="0" applyNumberFormat="1" applyFont="1" applyFill="1" applyBorder="1" applyAlignment="1">
      <alignment horizontal="center" vertical="center"/>
    </xf>
    <xf numFmtId="166" fontId="5" fillId="5" borderId="52" xfId="0" applyNumberFormat="1" applyFont="1" applyFill="1" applyBorder="1" applyAlignment="1">
      <alignment horizontal="center" vertical="center"/>
    </xf>
    <xf numFmtId="166" fontId="20" fillId="6" borderId="12" xfId="0" applyNumberFormat="1" applyFont="1" applyFill="1" applyBorder="1" applyAlignment="1">
      <alignment horizontal="center" vertical="center" wrapText="1"/>
    </xf>
    <xf numFmtId="166" fontId="5" fillId="6" borderId="12" xfId="0" applyNumberFormat="1" applyFont="1" applyFill="1" applyBorder="1" applyAlignment="1" applyProtection="1">
      <alignment horizontal="center" vertical="center"/>
      <protection locked="0"/>
    </xf>
    <xf numFmtId="2" fontId="20" fillId="6" borderId="12" xfId="0" applyNumberFormat="1" applyFont="1" applyFill="1" applyBorder="1" applyAlignment="1">
      <alignment horizontal="center" vertical="center" wrapText="1"/>
    </xf>
    <xf numFmtId="2" fontId="5" fillId="6" borderId="12" xfId="0" applyNumberFormat="1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>
      <alignment horizontal="center" vertical="center" wrapText="1"/>
    </xf>
    <xf numFmtId="10" fontId="18" fillId="7" borderId="10" xfId="964" applyNumberFormat="1" applyFont="1" applyFill="1" applyBorder="1" applyAlignment="1">
      <alignment horizontal="center" vertical="center"/>
    </xf>
    <xf numFmtId="0" fontId="13" fillId="6" borderId="12" xfId="0" applyFont="1" applyFill="1" applyBorder="1" applyAlignment="1" applyProtection="1">
      <alignment horizontal="center" vertical="center"/>
      <protection locked="0"/>
    </xf>
    <xf numFmtId="0" fontId="24" fillId="6" borderId="12" xfId="0" applyFont="1" applyFill="1" applyBorder="1" applyAlignment="1">
      <alignment horizontal="center" vertical="center" wrapText="1"/>
    </xf>
    <xf numFmtId="0" fontId="25" fillId="6" borderId="12" xfId="0" applyFont="1" applyFill="1" applyBorder="1" applyAlignment="1">
      <alignment horizontal="center" vertical="center" wrapText="1"/>
    </xf>
    <xf numFmtId="167" fontId="15" fillId="7" borderId="33" xfId="964" applyNumberFormat="1" applyFont="1" applyFill="1" applyBorder="1" applyAlignment="1">
      <alignment horizontal="center" vertical="center"/>
    </xf>
    <xf numFmtId="167" fontId="15" fillId="7" borderId="34" xfId="964" applyNumberFormat="1" applyFont="1" applyFill="1" applyBorder="1" applyAlignment="1">
      <alignment horizontal="center" vertical="center"/>
    </xf>
    <xf numFmtId="167" fontId="15" fillId="7" borderId="15" xfId="964" applyNumberFormat="1" applyFont="1" applyFill="1" applyBorder="1" applyAlignment="1">
      <alignment horizontal="center" vertical="center"/>
    </xf>
    <xf numFmtId="167" fontId="15" fillId="7" borderId="4" xfId="964" applyNumberFormat="1" applyFont="1" applyFill="1" applyBorder="1" applyAlignment="1">
      <alignment horizontal="center" vertical="center"/>
    </xf>
    <xf numFmtId="167" fontId="15" fillId="7" borderId="5" xfId="964" applyNumberFormat="1" applyFont="1" applyFill="1" applyBorder="1" applyAlignment="1">
      <alignment horizontal="center" vertical="center"/>
    </xf>
    <xf numFmtId="167" fontId="15" fillId="7" borderId="7" xfId="964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2" fontId="19" fillId="4" borderId="18" xfId="965" applyNumberFormat="1" applyFont="1" applyBorder="1" applyAlignment="1">
      <alignment horizontal="center" vertical="center"/>
    </xf>
    <xf numFmtId="2" fontId="19" fillId="4" borderId="19" xfId="965" applyNumberFormat="1" applyFont="1" applyBorder="1" applyAlignment="1">
      <alignment horizontal="center" vertical="center"/>
    </xf>
    <xf numFmtId="2" fontId="19" fillId="4" borderId="20" xfId="965" applyNumberFormat="1" applyFont="1" applyBorder="1" applyAlignment="1">
      <alignment horizontal="center" vertical="center"/>
    </xf>
    <xf numFmtId="0" fontId="19" fillId="4" borderId="18" xfId="965" applyFont="1" applyBorder="1" applyAlignment="1">
      <alignment horizontal="center" vertical="center"/>
    </xf>
    <xf numFmtId="0" fontId="19" fillId="4" borderId="19" xfId="965" applyFont="1" applyBorder="1" applyAlignment="1">
      <alignment horizontal="center" vertical="center"/>
    </xf>
    <xf numFmtId="0" fontId="13" fillId="5" borderId="44" xfId="963" applyFont="1" applyFill="1" applyBorder="1" applyAlignment="1" applyProtection="1">
      <alignment horizontal="center" vertical="center"/>
      <protection locked="0"/>
    </xf>
    <xf numFmtId="0" fontId="5" fillId="5" borderId="23" xfId="963" applyFont="1" applyFill="1" applyBorder="1" applyAlignment="1" applyProtection="1">
      <alignment horizontal="center" vertical="center"/>
      <protection locked="0"/>
    </xf>
    <xf numFmtId="165" fontId="5" fillId="5" borderId="12" xfId="963" applyNumberFormat="1" applyFont="1" applyFill="1" applyBorder="1" applyAlignment="1" applyProtection="1">
      <alignment horizontal="center" vertical="center"/>
      <protection locked="0"/>
    </xf>
    <xf numFmtId="0" fontId="18" fillId="7" borderId="12" xfId="963" applyFont="1" applyFill="1" applyBorder="1" applyAlignment="1" applyProtection="1">
      <alignment horizontal="center" vertical="center"/>
      <protection locked="0"/>
    </xf>
    <xf numFmtId="2" fontId="5" fillId="5" borderId="22" xfId="963" applyNumberFormat="1" applyFont="1" applyFill="1" applyBorder="1" applyAlignment="1" applyProtection="1">
      <alignment horizontal="center" vertical="center"/>
      <protection locked="0"/>
    </xf>
    <xf numFmtId="0" fontId="13" fillId="5" borderId="11" xfId="963" applyFont="1" applyFill="1" applyBorder="1" applyAlignment="1" applyProtection="1">
      <alignment horizontal="center" vertical="center"/>
      <protection locked="0"/>
    </xf>
    <xf numFmtId="0" fontId="13" fillId="5" borderId="13" xfId="963" applyFont="1" applyFill="1" applyBorder="1" applyAlignment="1" applyProtection="1">
      <alignment horizontal="center" vertical="center"/>
      <protection locked="0"/>
    </xf>
    <xf numFmtId="2" fontId="13" fillId="5" borderId="18" xfId="0" applyNumberFormat="1" applyFont="1" applyFill="1" applyBorder="1" applyAlignment="1">
      <alignment horizontal="center" vertical="center"/>
    </xf>
    <xf numFmtId="2" fontId="13" fillId="5" borderId="19" xfId="0" applyNumberFormat="1" applyFont="1" applyFill="1" applyBorder="1" applyAlignment="1">
      <alignment horizontal="center" vertical="center"/>
    </xf>
    <xf numFmtId="2" fontId="13" fillId="5" borderId="20" xfId="0" applyNumberFormat="1" applyFont="1" applyFill="1" applyBorder="1" applyAlignment="1">
      <alignment horizontal="center" vertical="center"/>
    </xf>
    <xf numFmtId="2" fontId="13" fillId="5" borderId="59" xfId="0" applyNumberFormat="1" applyFont="1" applyFill="1" applyBorder="1" applyAlignment="1">
      <alignment horizontal="center" vertical="center"/>
    </xf>
    <xf numFmtId="0" fontId="19" fillId="4" borderId="18" xfId="965" applyFont="1" applyBorder="1" applyAlignment="1" applyProtection="1">
      <alignment horizontal="center" vertical="center"/>
      <protection locked="0"/>
    </xf>
    <xf numFmtId="0" fontId="16" fillId="4" borderId="18" xfId="965" applyBorder="1" applyAlignment="1">
      <alignment horizontal="center" vertical="center"/>
    </xf>
    <xf numFmtId="0" fontId="16" fillId="4" borderId="19" xfId="965" applyBorder="1" applyAlignment="1">
      <alignment horizontal="center" vertical="center"/>
    </xf>
    <xf numFmtId="0" fontId="16" fillId="4" borderId="20" xfId="965" applyBorder="1" applyAlignment="1">
      <alignment horizontal="center" vertical="center"/>
    </xf>
    <xf numFmtId="0" fontId="16" fillId="4" borderId="18" xfId="965" applyBorder="1" applyAlignment="1" applyProtection="1">
      <alignment horizontal="center" vertical="center"/>
      <protection locked="0"/>
    </xf>
    <xf numFmtId="0" fontId="16" fillId="4" borderId="20" xfId="965" applyBorder="1" applyAlignment="1" applyProtection="1">
      <alignment horizontal="center" vertical="center"/>
      <protection locked="0"/>
    </xf>
    <xf numFmtId="0" fontId="16" fillId="4" borderId="59" xfId="965" applyBorder="1" applyAlignment="1">
      <alignment horizontal="center" vertical="center"/>
    </xf>
    <xf numFmtId="0" fontId="19" fillId="4" borderId="28" xfId="965" applyFont="1" applyBorder="1" applyAlignment="1" applyProtection="1">
      <alignment horizontal="center" vertical="center"/>
      <protection locked="0"/>
    </xf>
    <xf numFmtId="0" fontId="16" fillId="4" borderId="47" xfId="965" applyBorder="1" applyAlignment="1">
      <alignment horizontal="center" vertical="center"/>
    </xf>
    <xf numFmtId="0" fontId="16" fillId="4" borderId="48" xfId="965" applyBorder="1" applyAlignment="1">
      <alignment horizontal="center" vertical="center"/>
    </xf>
    <xf numFmtId="0" fontId="16" fillId="4" borderId="49" xfId="965" applyBorder="1" applyAlignment="1">
      <alignment horizontal="center" vertical="center"/>
    </xf>
    <xf numFmtId="0" fontId="16" fillId="4" borderId="47" xfId="965" applyBorder="1" applyAlignment="1" applyProtection="1">
      <alignment horizontal="center" vertical="center"/>
      <protection locked="0"/>
    </xf>
    <xf numFmtId="0" fontId="16" fillId="4" borderId="49" xfId="965" applyBorder="1" applyAlignment="1" applyProtection="1">
      <alignment horizontal="center" vertical="center"/>
      <protection locked="0"/>
    </xf>
    <xf numFmtId="0" fontId="16" fillId="4" borderId="41" xfId="965" applyBorder="1" applyAlignment="1">
      <alignment horizontal="center" vertical="center"/>
    </xf>
    <xf numFmtId="0" fontId="16" fillId="4" borderId="51" xfId="965" applyBorder="1" applyAlignment="1">
      <alignment horizontal="center" vertical="center"/>
    </xf>
    <xf numFmtId="0" fontId="16" fillId="4" borderId="13" xfId="965" applyBorder="1" applyAlignment="1" applyProtection="1">
      <alignment horizontal="center" vertical="center"/>
      <protection locked="0"/>
    </xf>
    <xf numFmtId="0" fontId="19" fillId="4" borderId="20" xfId="965" applyFont="1" applyBorder="1" applyAlignment="1" applyProtection="1">
      <alignment horizontal="center" vertical="center"/>
      <protection locked="0"/>
    </xf>
    <xf numFmtId="2" fontId="19" fillId="4" borderId="59" xfId="965" applyNumberFormat="1" applyFont="1" applyBorder="1" applyAlignment="1">
      <alignment horizontal="center" vertical="center"/>
    </xf>
    <xf numFmtId="0" fontId="13" fillId="5" borderId="60" xfId="963" applyFont="1" applyFill="1" applyBorder="1" applyAlignment="1" applyProtection="1">
      <alignment horizontal="center" vertical="center"/>
      <protection locked="0"/>
    </xf>
    <xf numFmtId="0" fontId="19" fillId="4" borderId="13" xfId="965" applyFont="1" applyBorder="1" applyAlignment="1" applyProtection="1">
      <alignment horizontal="center" vertical="center"/>
      <protection locked="0"/>
    </xf>
    <xf numFmtId="166" fontId="15" fillId="7" borderId="18" xfId="0" applyNumberFormat="1" applyFont="1" applyFill="1" applyBorder="1" applyAlignment="1" applyProtection="1">
      <alignment horizontal="center" vertical="center"/>
      <protection locked="0"/>
    </xf>
    <xf numFmtId="166" fontId="15" fillId="7" borderId="19" xfId="0" applyNumberFormat="1" applyFont="1" applyFill="1" applyBorder="1" applyAlignment="1" applyProtection="1">
      <alignment horizontal="center" vertical="center"/>
      <protection locked="0"/>
    </xf>
    <xf numFmtId="166" fontId="15" fillId="7" borderId="20" xfId="0" applyNumberFormat="1" applyFont="1" applyFill="1" applyBorder="1" applyAlignment="1" applyProtection="1">
      <alignment horizontal="center" vertical="center"/>
      <protection locked="0"/>
    </xf>
    <xf numFmtId="2" fontId="15" fillId="7" borderId="18" xfId="0" applyNumberFormat="1" applyFont="1" applyFill="1" applyBorder="1" applyAlignment="1" applyProtection="1">
      <alignment horizontal="center" vertical="center"/>
      <protection locked="0"/>
    </xf>
    <xf numFmtId="2" fontId="15" fillId="7" borderId="19" xfId="0" applyNumberFormat="1" applyFont="1" applyFill="1" applyBorder="1" applyAlignment="1" applyProtection="1">
      <alignment horizontal="center" vertical="center"/>
      <protection locked="0"/>
    </xf>
    <xf numFmtId="2" fontId="15" fillId="7" borderId="20" xfId="0" applyNumberFormat="1" applyFont="1" applyFill="1" applyBorder="1" applyAlignment="1" applyProtection="1">
      <alignment horizontal="center" vertical="center"/>
      <protection locked="0"/>
    </xf>
    <xf numFmtId="166" fontId="13" fillId="5" borderId="59" xfId="0" applyNumberFormat="1" applyFont="1" applyFill="1" applyBorder="1" applyAlignment="1">
      <alignment horizontal="center" vertical="center"/>
    </xf>
    <xf numFmtId="166" fontId="13" fillId="5" borderId="20" xfId="0" applyNumberFormat="1" applyFont="1" applyFill="1" applyBorder="1" applyAlignment="1">
      <alignment horizontal="center" vertical="center"/>
    </xf>
    <xf numFmtId="0" fontId="16" fillId="4" borderId="61" xfId="965" applyBorder="1" applyAlignment="1">
      <alignment horizontal="center" vertical="center"/>
    </xf>
    <xf numFmtId="2" fontId="19" fillId="4" borderId="13" xfId="965" applyNumberFormat="1" applyFont="1" applyBorder="1" applyAlignment="1">
      <alignment horizontal="center" vertical="center"/>
    </xf>
    <xf numFmtId="0" fontId="15" fillId="7" borderId="61" xfId="963" applyFont="1" applyFill="1" applyBorder="1" applyAlignment="1" applyProtection="1">
      <alignment horizontal="center" vertical="center"/>
      <protection locked="0"/>
    </xf>
    <xf numFmtId="0" fontId="15" fillId="7" borderId="8" xfId="963" applyFont="1" applyFill="1" applyBorder="1" applyAlignment="1" applyProtection="1">
      <alignment horizontal="center" vertical="center"/>
      <protection locked="0"/>
    </xf>
    <xf numFmtId="0" fontId="15" fillId="7" borderId="14" xfId="963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21" fillId="6" borderId="48" xfId="0" applyFont="1" applyFill="1" applyBorder="1" applyAlignment="1">
      <alignment vertical="center" wrapText="1"/>
    </xf>
    <xf numFmtId="0" fontId="21" fillId="6" borderId="23" xfId="0" applyFont="1" applyFill="1" applyBorder="1" applyAlignment="1">
      <alignment vertical="center" wrapText="1"/>
    </xf>
    <xf numFmtId="0" fontId="22" fillId="7" borderId="12" xfId="0" applyFont="1" applyFill="1" applyBorder="1" applyAlignment="1">
      <alignment vertical="top" wrapText="1"/>
    </xf>
    <xf numFmtId="0" fontId="15" fillId="7" borderId="12" xfId="0" applyFont="1" applyFill="1" applyBorder="1" applyAlignment="1">
      <alignment horizontal="center" vertical="center" wrapText="1"/>
    </xf>
    <xf numFmtId="0" fontId="13" fillId="5" borderId="14" xfId="963" applyFont="1" applyFill="1" applyBorder="1" applyAlignment="1" applyProtection="1">
      <alignment horizontal="center" vertical="center"/>
      <protection locked="0"/>
    </xf>
    <xf numFmtId="0" fontId="13" fillId="5" borderId="61" xfId="963" applyFont="1" applyFill="1" applyBorder="1" applyAlignment="1" applyProtection="1">
      <alignment horizontal="center" vertical="center"/>
      <protection locked="0"/>
    </xf>
    <xf numFmtId="0" fontId="13" fillId="5" borderId="8" xfId="963" applyFont="1" applyFill="1" applyBorder="1" applyAlignment="1" applyProtection="1">
      <alignment horizontal="center" vertical="center"/>
      <protection locked="0"/>
    </xf>
    <xf numFmtId="2" fontId="5" fillId="5" borderId="9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15" fillId="7" borderId="9" xfId="963" applyFont="1" applyFill="1" applyBorder="1" applyAlignment="1" applyProtection="1">
      <alignment horizontal="center" vertical="center"/>
      <protection locked="0"/>
    </xf>
    <xf numFmtId="15" fontId="15" fillId="7" borderId="12" xfId="0" applyNumberFormat="1" applyFont="1" applyFill="1" applyBorder="1" applyAlignment="1">
      <alignment horizontal="center" vertical="center"/>
    </xf>
    <xf numFmtId="18" fontId="15" fillId="7" borderId="12" xfId="0" applyNumberFormat="1" applyFont="1" applyFill="1" applyBorder="1" applyAlignment="1">
      <alignment horizontal="center" vertical="center"/>
    </xf>
    <xf numFmtId="10" fontId="6" fillId="6" borderId="12" xfId="964" applyNumberFormat="1" applyFont="1" applyFill="1" applyBorder="1" applyAlignment="1">
      <alignment horizontal="center" vertical="center" wrapText="1"/>
    </xf>
    <xf numFmtId="10" fontId="5" fillId="5" borderId="9" xfId="964" applyNumberFormat="1" applyFont="1" applyFill="1" applyBorder="1" applyAlignment="1" applyProtection="1">
      <alignment horizontal="center" vertical="center"/>
      <protection locked="0"/>
    </xf>
    <xf numFmtId="10" fontId="5" fillId="5" borderId="13" xfId="964" applyNumberFormat="1" applyFont="1" applyFill="1" applyBorder="1" applyAlignment="1" applyProtection="1">
      <alignment horizontal="center" vertical="center"/>
      <protection locked="0"/>
    </xf>
    <xf numFmtId="0" fontId="15" fillId="7" borderId="13" xfId="0" applyFont="1" applyFill="1" applyBorder="1" applyAlignment="1" applyProtection="1">
      <alignment horizontal="center" vertical="center"/>
      <protection locked="0"/>
    </xf>
    <xf numFmtId="0" fontId="15" fillId="7" borderId="10" xfId="0" applyFont="1" applyFill="1" applyBorder="1" applyAlignment="1" applyProtection="1">
      <alignment horizontal="center" vertical="center"/>
      <protection locked="0"/>
    </xf>
    <xf numFmtId="10" fontId="15" fillId="7" borderId="13" xfId="964" applyNumberFormat="1" applyFont="1" applyFill="1" applyBorder="1" applyAlignment="1" applyProtection="1">
      <alignment horizontal="center" vertical="center"/>
      <protection locked="0"/>
    </xf>
    <xf numFmtId="2" fontId="5" fillId="5" borderId="21" xfId="0" applyNumberFormat="1" applyFont="1" applyFill="1" applyBorder="1" applyAlignment="1">
      <alignment horizontal="center" vertical="center"/>
    </xf>
    <xf numFmtId="166" fontId="13" fillId="5" borderId="25" xfId="0" applyNumberFormat="1" applyFont="1" applyFill="1" applyBorder="1" applyAlignment="1">
      <alignment horizontal="center" vertical="center"/>
    </xf>
    <xf numFmtId="166" fontId="13" fillId="5" borderId="0" xfId="0" applyNumberFormat="1" applyFont="1" applyFill="1" applyAlignment="1">
      <alignment horizontal="center" vertical="center"/>
    </xf>
    <xf numFmtId="166" fontId="13" fillId="5" borderId="28" xfId="0" applyNumberFormat="1" applyFont="1" applyFill="1" applyBorder="1" applyAlignment="1">
      <alignment horizontal="center" vertical="center"/>
    </xf>
    <xf numFmtId="2" fontId="13" fillId="5" borderId="26" xfId="0" applyNumberFormat="1" applyFont="1" applyFill="1" applyBorder="1" applyAlignment="1">
      <alignment horizontal="center" vertical="center"/>
    </xf>
    <xf numFmtId="2" fontId="13" fillId="5" borderId="27" xfId="0" applyNumberFormat="1" applyFont="1" applyFill="1" applyBorder="1" applyAlignment="1">
      <alignment horizontal="center" vertical="center"/>
    </xf>
    <xf numFmtId="2" fontId="13" fillId="5" borderId="16" xfId="0" applyNumberFormat="1" applyFont="1" applyFill="1" applyBorder="1" applyAlignment="1">
      <alignment horizontal="center" vertical="center"/>
    </xf>
    <xf numFmtId="0" fontId="26" fillId="7" borderId="14" xfId="0" applyFont="1" applyFill="1" applyBorder="1" applyAlignment="1" applyProtection="1">
      <alignment horizontal="center" vertical="center" wrapText="1"/>
      <protection locked="0"/>
    </xf>
    <xf numFmtId="0" fontId="26" fillId="7" borderId="25" xfId="0" applyFont="1" applyFill="1" applyBorder="1" applyAlignment="1" applyProtection="1">
      <alignment horizontal="center" vertical="center" wrapText="1"/>
      <protection locked="0"/>
    </xf>
    <xf numFmtId="0" fontId="26" fillId="7" borderId="26" xfId="0" applyFont="1" applyFill="1" applyBorder="1" applyAlignment="1" applyProtection="1">
      <alignment horizontal="center" vertical="center" wrapText="1"/>
      <protection locked="0"/>
    </xf>
    <xf numFmtId="0" fontId="26" fillId="7" borderId="24" xfId="0" applyFont="1" applyFill="1" applyBorder="1" applyAlignment="1" applyProtection="1">
      <alignment horizontal="center" vertical="center" wrapText="1"/>
      <protection locked="0"/>
    </xf>
    <xf numFmtId="0" fontId="26" fillId="7" borderId="0" xfId="0" applyFont="1" applyFill="1" applyAlignment="1" applyProtection="1">
      <alignment horizontal="center" vertical="center" wrapText="1"/>
      <protection locked="0"/>
    </xf>
    <xf numFmtId="0" fontId="26" fillId="7" borderId="27" xfId="0" applyFont="1" applyFill="1" applyBorder="1" applyAlignment="1" applyProtection="1">
      <alignment horizontal="center" vertical="center" wrapText="1"/>
      <protection locked="0"/>
    </xf>
    <xf numFmtId="0" fontId="27" fillId="5" borderId="14" xfId="0" applyFont="1" applyFill="1" applyBorder="1" applyAlignment="1" applyProtection="1">
      <alignment horizontal="center" vertical="center" wrapText="1"/>
      <protection locked="0"/>
    </xf>
    <xf numFmtId="0" fontId="27" fillId="5" borderId="25" xfId="0" applyFont="1" applyFill="1" applyBorder="1" applyAlignment="1" applyProtection="1">
      <alignment horizontal="center" vertical="center" wrapText="1"/>
      <protection locked="0"/>
    </xf>
    <xf numFmtId="0" fontId="27" fillId="5" borderId="26" xfId="0" applyFont="1" applyFill="1" applyBorder="1" applyAlignment="1" applyProtection="1">
      <alignment horizontal="center" vertical="center" wrapText="1"/>
      <protection locked="0"/>
    </xf>
    <xf numFmtId="0" fontId="27" fillId="5" borderId="8" xfId="0" applyFont="1" applyFill="1" applyBorder="1" applyAlignment="1" applyProtection="1">
      <alignment horizontal="center" vertical="center" wrapText="1"/>
      <protection locked="0"/>
    </xf>
    <xf numFmtId="0" fontId="27" fillId="5" borderId="28" xfId="0" applyFont="1" applyFill="1" applyBorder="1" applyAlignment="1" applyProtection="1">
      <alignment horizontal="center" vertical="center" wrapText="1"/>
      <protection locked="0"/>
    </xf>
    <xf numFmtId="0" fontId="27" fillId="5" borderId="16" xfId="0" applyFont="1" applyFill="1" applyBorder="1" applyAlignment="1" applyProtection="1">
      <alignment horizontal="center" vertical="center" wrapText="1"/>
      <protection locked="0"/>
    </xf>
    <xf numFmtId="0" fontId="30" fillId="4" borderId="61" xfId="965" applyFont="1" applyBorder="1" applyAlignment="1" applyProtection="1">
      <alignment horizontal="center" vertical="center"/>
      <protection locked="0"/>
    </xf>
    <xf numFmtId="0" fontId="30" fillId="4" borderId="60" xfId="965" applyFont="1" applyBorder="1" applyAlignment="1" applyProtection="1">
      <alignment horizontal="center" vertical="center"/>
      <protection locked="0"/>
    </xf>
    <xf numFmtId="0" fontId="30" fillId="4" borderId="11" xfId="965" applyFont="1" applyBorder="1" applyAlignment="1" applyProtection="1">
      <alignment horizontal="center" vertical="center"/>
      <protection locked="0"/>
    </xf>
    <xf numFmtId="0" fontId="19" fillId="4" borderId="9" xfId="965" applyFont="1" applyBorder="1" applyAlignment="1" applyProtection="1">
      <alignment horizontal="center" vertical="center" wrapText="1"/>
      <protection locked="0"/>
    </xf>
    <xf numFmtId="0" fontId="19" fillId="4" borderId="10" xfId="965" applyFont="1" applyBorder="1" applyAlignment="1" applyProtection="1">
      <alignment horizontal="center" vertical="center" wrapText="1"/>
      <protection locked="0"/>
    </xf>
    <xf numFmtId="0" fontId="22" fillId="7" borderId="54" xfId="0" applyFont="1" applyFill="1" applyBorder="1" applyAlignment="1">
      <alignment horizontal="left" vertical="top" wrapText="1"/>
    </xf>
    <xf numFmtId="0" fontId="22" fillId="7" borderId="53" xfId="0" applyFont="1" applyFill="1" applyBorder="1" applyAlignment="1">
      <alignment horizontal="left" vertical="top" wrapText="1"/>
    </xf>
    <xf numFmtId="0" fontId="22" fillId="7" borderId="42" xfId="0" applyFont="1" applyFill="1" applyBorder="1" applyAlignment="1">
      <alignment horizontal="left" vertical="top" wrapText="1"/>
    </xf>
    <xf numFmtId="0" fontId="22" fillId="7" borderId="31" xfId="0" applyFont="1" applyFill="1" applyBorder="1" applyAlignment="1">
      <alignment horizontal="left" vertical="top" wrapText="1"/>
    </xf>
    <xf numFmtId="0" fontId="21" fillId="6" borderId="22" xfId="0" applyFont="1" applyFill="1" applyBorder="1" applyAlignment="1">
      <alignment horizontal="center" vertical="center" wrapText="1"/>
    </xf>
    <xf numFmtId="0" fontId="21" fillId="6" borderId="48" xfId="0" applyFont="1" applyFill="1" applyBorder="1" applyAlignment="1">
      <alignment horizontal="center" vertical="center" wrapText="1"/>
    </xf>
    <xf numFmtId="0" fontId="19" fillId="4" borderId="14" xfId="965" applyFont="1" applyBorder="1" applyAlignment="1" applyProtection="1">
      <alignment horizontal="center" vertical="center" wrapText="1"/>
      <protection locked="0"/>
    </xf>
    <xf numFmtId="0" fontId="19" fillId="4" borderId="25" xfId="965" applyFont="1" applyBorder="1" applyAlignment="1" applyProtection="1">
      <alignment horizontal="center" vertical="center" wrapText="1"/>
      <protection locked="0"/>
    </xf>
    <xf numFmtId="0" fontId="19" fillId="4" borderId="26" xfId="965" applyFont="1" applyBorder="1" applyAlignment="1" applyProtection="1">
      <alignment horizontal="center" vertical="center" wrapText="1"/>
      <protection locked="0"/>
    </xf>
    <xf numFmtId="0" fontId="19" fillId="4" borderId="8" xfId="965" applyFont="1" applyBorder="1" applyAlignment="1" applyProtection="1">
      <alignment horizontal="center" vertical="center" wrapText="1"/>
      <protection locked="0"/>
    </xf>
    <xf numFmtId="0" fontId="19" fillId="4" borderId="28" xfId="965" applyFont="1" applyBorder="1" applyAlignment="1" applyProtection="1">
      <alignment horizontal="center" vertical="center" wrapText="1"/>
      <protection locked="0"/>
    </xf>
    <xf numFmtId="0" fontId="19" fillId="4" borderId="16" xfId="965" applyFont="1" applyBorder="1" applyAlignment="1" applyProtection="1">
      <alignment horizontal="center" vertical="center" wrapText="1"/>
      <protection locked="0"/>
    </xf>
    <xf numFmtId="0" fontId="17" fillId="7" borderId="9" xfId="0" applyFont="1" applyFill="1" applyBorder="1" applyAlignment="1" applyProtection="1">
      <alignment horizontal="center" vertical="center" wrapText="1"/>
      <protection locked="0"/>
    </xf>
    <xf numFmtId="0" fontId="17" fillId="7" borderId="37" xfId="0" applyFont="1" applyFill="1" applyBorder="1" applyAlignment="1" applyProtection="1">
      <alignment horizontal="center" vertical="center" wrapText="1"/>
      <protection locked="0"/>
    </xf>
    <xf numFmtId="0" fontId="17" fillId="7" borderId="10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26" xfId="0" applyFont="1" applyFill="1" applyBorder="1" applyAlignment="1" applyProtection="1">
      <alignment horizontal="center" vertical="center" wrapText="1"/>
      <protection locked="0"/>
    </xf>
    <xf numFmtId="0" fontId="14" fillId="5" borderId="24" xfId="0" applyFont="1" applyFill="1" applyBorder="1" applyAlignment="1" applyProtection="1">
      <alignment horizontal="center" vertical="center" wrapText="1"/>
      <protection locked="0"/>
    </xf>
    <xf numFmtId="0" fontId="14" fillId="5" borderId="27" xfId="0" applyFont="1" applyFill="1" applyBorder="1" applyAlignment="1" applyProtection="1">
      <alignment horizontal="center" vertical="center" wrapText="1"/>
      <protection locked="0"/>
    </xf>
    <xf numFmtId="0" fontId="14" fillId="5" borderId="8" xfId="0" applyFont="1" applyFill="1" applyBorder="1" applyAlignment="1" applyProtection="1">
      <alignment horizontal="center" vertical="center" wrapText="1"/>
      <protection locked="0"/>
    </xf>
    <xf numFmtId="0" fontId="14" fillId="5" borderId="16" xfId="0" applyFont="1" applyFill="1" applyBorder="1" applyAlignment="1" applyProtection="1">
      <alignment horizontal="center" vertical="center" wrapText="1"/>
      <protection locked="0"/>
    </xf>
    <xf numFmtId="0" fontId="28" fillId="7" borderId="14" xfId="0" applyFont="1" applyFill="1" applyBorder="1" applyAlignment="1" applyProtection="1">
      <alignment horizontal="center" vertical="center" wrapText="1"/>
      <protection locked="0"/>
    </xf>
    <xf numFmtId="0" fontId="28" fillId="7" borderId="25" xfId="0" applyFont="1" applyFill="1" applyBorder="1" applyAlignment="1" applyProtection="1">
      <alignment horizontal="center" vertical="center" wrapText="1"/>
      <protection locked="0"/>
    </xf>
    <xf numFmtId="0" fontId="28" fillId="7" borderId="26" xfId="0" applyFont="1" applyFill="1" applyBorder="1" applyAlignment="1" applyProtection="1">
      <alignment horizontal="center" vertical="center" wrapText="1"/>
      <protection locked="0"/>
    </xf>
    <xf numFmtId="0" fontId="28" fillId="7" borderId="8" xfId="0" applyFont="1" applyFill="1" applyBorder="1" applyAlignment="1" applyProtection="1">
      <alignment horizontal="center" vertical="center" wrapText="1"/>
      <protection locked="0"/>
    </xf>
    <xf numFmtId="0" fontId="28" fillId="7" borderId="28" xfId="0" applyFont="1" applyFill="1" applyBorder="1" applyAlignment="1" applyProtection="1">
      <alignment horizontal="center" vertical="center" wrapText="1"/>
      <protection locked="0"/>
    </xf>
    <xf numFmtId="0" fontId="28" fillId="7" borderId="16" xfId="0" applyFont="1" applyFill="1" applyBorder="1" applyAlignment="1" applyProtection="1">
      <alignment horizontal="center" vertical="center" wrapText="1"/>
      <protection locked="0"/>
    </xf>
    <xf numFmtId="2" fontId="0" fillId="5" borderId="14" xfId="963" applyNumberFormat="1" applyFont="1" applyFill="1" applyBorder="1" applyAlignment="1" applyProtection="1">
      <alignment horizontal="center" vertical="center"/>
      <protection locked="0"/>
    </xf>
    <xf numFmtId="2" fontId="0" fillId="5" borderId="26" xfId="963" applyNumberFormat="1" applyFont="1" applyFill="1" applyBorder="1" applyAlignment="1" applyProtection="1">
      <alignment horizontal="center" vertical="center"/>
      <protection locked="0"/>
    </xf>
    <xf numFmtId="2" fontId="0" fillId="5" borderId="8" xfId="963" applyNumberFormat="1" applyFont="1" applyFill="1" applyBorder="1" applyAlignment="1" applyProtection="1">
      <alignment horizontal="center" vertical="center"/>
      <protection locked="0"/>
    </xf>
    <xf numFmtId="2" fontId="0" fillId="5" borderId="16" xfId="963" applyNumberFormat="1" applyFont="1" applyFill="1" applyBorder="1" applyAlignment="1" applyProtection="1">
      <alignment horizontal="center" vertical="center"/>
      <protection locked="0"/>
    </xf>
    <xf numFmtId="0" fontId="18" fillId="7" borderId="14" xfId="0" applyFont="1" applyFill="1" applyBorder="1" applyAlignment="1" applyProtection="1">
      <alignment horizontal="center" vertical="center"/>
      <protection locked="0"/>
    </xf>
    <xf numFmtId="0" fontId="18" fillId="7" borderId="26" xfId="0" applyFont="1" applyFill="1" applyBorder="1" applyAlignment="1" applyProtection="1">
      <alignment horizontal="center" vertical="center"/>
      <protection locked="0"/>
    </xf>
    <xf numFmtId="0" fontId="18" fillId="7" borderId="8" xfId="0" applyFont="1" applyFill="1" applyBorder="1" applyAlignment="1" applyProtection="1">
      <alignment horizontal="center" vertical="center"/>
      <protection locked="0"/>
    </xf>
    <xf numFmtId="0" fontId="18" fillId="7" borderId="16" xfId="0" applyFont="1" applyFill="1" applyBorder="1" applyAlignment="1" applyProtection="1">
      <alignment horizontal="center" vertical="center"/>
      <protection locked="0"/>
    </xf>
    <xf numFmtId="0" fontId="15" fillId="7" borderId="10" xfId="963" applyFont="1" applyFill="1" applyBorder="1" applyAlignment="1">
      <alignment horizontal="center" vertical="center"/>
    </xf>
    <xf numFmtId="0" fontId="13" fillId="5" borderId="9" xfId="963" applyFont="1" applyFill="1" applyBorder="1" applyAlignment="1" applyProtection="1">
      <alignment horizontal="center" vertical="center"/>
      <protection locked="0"/>
    </xf>
    <xf numFmtId="0" fontId="13" fillId="5" borderId="10" xfId="963" applyFont="1" applyFill="1" applyBorder="1" applyAlignment="1" applyProtection="1">
      <alignment horizontal="center" vertical="center"/>
      <protection locked="0"/>
    </xf>
    <xf numFmtId="0" fontId="15" fillId="7" borderId="9" xfId="963" applyFont="1" applyFill="1" applyBorder="1" applyAlignment="1">
      <alignment horizontal="center" vertical="center" wrapText="1"/>
    </xf>
  </cellXfs>
  <cellStyles count="966">
    <cellStyle name="Check Cell" xfId="963" builtinId="23"/>
    <cellStyle name="Followed Hyperlink" xfId="13" builtinId="9" hidden="1"/>
    <cellStyle name="Followed Hyperlink" xfId="581" builtinId="9" hidden="1"/>
    <cellStyle name="Followed Hyperlink" xfId="928" builtinId="9" hidden="1"/>
    <cellStyle name="Followed Hyperlink" xfId="94" builtinId="9" hidden="1"/>
    <cellStyle name="Followed Hyperlink" xfId="926" builtinId="9" hidden="1"/>
    <cellStyle name="Followed Hyperlink" xfId="11" builtinId="9" hidden="1"/>
    <cellStyle name="Followed Hyperlink" xfId="924" builtinId="9" hidden="1"/>
    <cellStyle name="Followed Hyperlink" xfId="227" builtinId="9" hidden="1"/>
    <cellStyle name="Followed Hyperlink" xfId="923" builtinId="9" hidden="1"/>
    <cellStyle name="Followed Hyperlink" xfId="23" builtinId="9" hidden="1"/>
    <cellStyle name="Followed Hyperlink" xfId="921" builtinId="9" hidden="1"/>
    <cellStyle name="Followed Hyperlink" xfId="106" builtinId="9" hidden="1"/>
    <cellStyle name="Followed Hyperlink" xfId="919" builtinId="9" hidden="1"/>
    <cellStyle name="Followed Hyperlink" xfId="31" builtinId="9" hidden="1"/>
    <cellStyle name="Followed Hyperlink" xfId="917" builtinId="9" hidden="1"/>
    <cellStyle name="Followed Hyperlink" xfId="482" builtinId="9" hidden="1"/>
    <cellStyle name="Followed Hyperlink" xfId="658" builtinId="9" hidden="1"/>
    <cellStyle name="Followed Hyperlink" xfId="39" builtinId="9" hidden="1"/>
    <cellStyle name="Followed Hyperlink" xfId="913" builtinId="9" hidden="1"/>
    <cellStyle name="Followed Hyperlink" xfId="102" builtinId="9" hidden="1"/>
    <cellStyle name="Followed Hyperlink" xfId="911" builtinId="9" hidden="1"/>
    <cellStyle name="Followed Hyperlink" xfId="48" builtinId="9" hidden="1"/>
    <cellStyle name="Followed Hyperlink" xfId="909" builtinId="9" hidden="1"/>
    <cellStyle name="Followed Hyperlink" xfId="219" builtinId="9" hidden="1"/>
    <cellStyle name="Followed Hyperlink" xfId="907" builtinId="9" hidden="1"/>
    <cellStyle name="Followed Hyperlink" xfId="56" builtinId="9" hidden="1"/>
    <cellStyle name="Followed Hyperlink" xfId="905" builtinId="9" hidden="1"/>
    <cellStyle name="Followed Hyperlink" xfId="98" builtinId="9" hidden="1"/>
    <cellStyle name="Followed Hyperlink" xfId="646" builtinId="9" hidden="1"/>
    <cellStyle name="Followed Hyperlink" xfId="70" builtinId="9" hidden="1"/>
    <cellStyle name="Followed Hyperlink" xfId="320" builtinId="9" hidden="1"/>
    <cellStyle name="Followed Hyperlink" xfId="64" builtinId="9" hidden="1"/>
    <cellStyle name="Followed Hyperlink" xfId="448" builtinId="9" hidden="1"/>
    <cellStyle name="Followed Hyperlink" xfId="90" builtinId="9" hidden="1"/>
    <cellStyle name="Followed Hyperlink" xfId="583" builtinId="9" hidden="1"/>
    <cellStyle name="Followed Hyperlink" xfId="705" builtinId="9" hidden="1"/>
    <cellStyle name="Followed Hyperlink" xfId="895" builtinId="9" hidden="1"/>
    <cellStyle name="Followed Hyperlink" xfId="62" builtinId="9" hidden="1"/>
    <cellStyle name="Followed Hyperlink" xfId="893" builtinId="9" hidden="1"/>
    <cellStyle name="Followed Hyperlink" xfId="251" builtinId="9" hidden="1"/>
    <cellStyle name="Followed Hyperlink" xfId="891" builtinId="9" hidden="1"/>
    <cellStyle name="Followed Hyperlink" xfId="60" builtinId="9" hidden="1"/>
    <cellStyle name="Followed Hyperlink" xfId="889" builtinId="9" hidden="1"/>
    <cellStyle name="Followed Hyperlink" xfId="86" builtinId="9" hidden="1"/>
    <cellStyle name="Followed Hyperlink" xfId="887" builtinId="9" hidden="1"/>
    <cellStyle name="Followed Hyperlink" xfId="58" builtinId="9" hidden="1"/>
    <cellStyle name="Followed Hyperlink" xfId="885" builtinId="9" hidden="1"/>
    <cellStyle name="Followed Hyperlink" xfId="514" builtinId="9" hidden="1"/>
    <cellStyle name="Followed Hyperlink" xfId="674" builtinId="9" hidden="1"/>
    <cellStyle name="Followed Hyperlink" xfId="54" builtinId="9" hidden="1"/>
    <cellStyle name="Followed Hyperlink" xfId="881" builtinId="9" hidden="1"/>
    <cellStyle name="Followed Hyperlink" xfId="110" builtinId="9" hidden="1"/>
    <cellStyle name="Followed Hyperlink" xfId="879" builtinId="9" hidden="1"/>
    <cellStyle name="Followed Hyperlink" xfId="52" builtinId="9" hidden="1"/>
    <cellStyle name="Followed Hyperlink" xfId="877" builtinId="9" hidden="1"/>
    <cellStyle name="Followed Hyperlink" xfId="275" builtinId="9" hidden="1"/>
    <cellStyle name="Followed Hyperlink" xfId="875" builtinId="9" hidden="1"/>
    <cellStyle name="Followed Hyperlink" xfId="50" builtinId="9" hidden="1"/>
    <cellStyle name="Followed Hyperlink" xfId="873" builtinId="9" hidden="1"/>
    <cellStyle name="Followed Hyperlink" xfId="126" builtinId="9" hidden="1"/>
    <cellStyle name="Followed Hyperlink" xfId="871" builtinId="9" hidden="1"/>
    <cellStyle name="Followed Hyperlink" xfId="46" builtinId="9" hidden="1"/>
    <cellStyle name="Followed Hyperlink" xfId="66" builtinId="9" hidden="1"/>
    <cellStyle name="Followed Hyperlink" xfId="901" builtinId="9" hidden="1"/>
    <cellStyle name="Followed Hyperlink" xfId="100" builtinId="9" hidden="1"/>
    <cellStyle name="Followed Hyperlink" xfId="549" builtinId="9" hidden="1"/>
    <cellStyle name="Followed Hyperlink" xfId="865" builtinId="9" hidden="1"/>
    <cellStyle name="Followed Hyperlink" xfId="142" builtinId="9" hidden="1"/>
    <cellStyle name="Followed Hyperlink" xfId="863" builtinId="9" hidden="1"/>
    <cellStyle name="Followed Hyperlink" xfId="41" builtinId="9" hidden="1"/>
    <cellStyle name="Followed Hyperlink" xfId="861" builtinId="9" hidden="1"/>
    <cellStyle name="Followed Hyperlink" xfId="267" builtinId="9" hidden="1"/>
    <cellStyle name="Followed Hyperlink" xfId="859" builtinId="9" hidden="1"/>
    <cellStyle name="Followed Hyperlink" xfId="37" builtinId="9" hidden="1"/>
    <cellStyle name="Followed Hyperlink" xfId="857" builtinId="9" hidden="1"/>
    <cellStyle name="Followed Hyperlink" xfId="158" builtinId="9" hidden="1"/>
    <cellStyle name="Followed Hyperlink" xfId="855" builtinId="9" hidden="1"/>
    <cellStyle name="Followed Hyperlink" xfId="35" builtinId="9" hidden="1"/>
    <cellStyle name="Followed Hyperlink" xfId="853" builtinId="9" hidden="1"/>
    <cellStyle name="Followed Hyperlink" xfId="498" builtinId="9" hidden="1"/>
    <cellStyle name="Followed Hyperlink" xfId="707" builtinId="9" hidden="1"/>
    <cellStyle name="Followed Hyperlink" xfId="33" builtinId="9" hidden="1"/>
    <cellStyle name="Followed Hyperlink" xfId="849" builtinId="9" hidden="1"/>
    <cellStyle name="Followed Hyperlink" xfId="174" builtinId="9" hidden="1"/>
    <cellStyle name="Followed Hyperlink" xfId="847" builtinId="9" hidden="1"/>
    <cellStyle name="Followed Hyperlink" xfId="29" builtinId="9" hidden="1"/>
    <cellStyle name="Followed Hyperlink" xfId="845" builtinId="9" hidden="1"/>
    <cellStyle name="Followed Hyperlink" xfId="259" builtinId="9" hidden="1"/>
    <cellStyle name="Followed Hyperlink" xfId="5" builtinId="9" hidden="1"/>
    <cellStyle name="Followed Hyperlink" xfId="573" builtinId="9" hidden="1"/>
    <cellStyle name="Followed Hyperlink" xfId="715" builtinId="9" hidden="1"/>
    <cellStyle name="Followed Hyperlink" xfId="202" builtinId="9" hidden="1"/>
    <cellStyle name="Followed Hyperlink" xfId="316" builtinId="9" hidden="1"/>
    <cellStyle name="Followed Hyperlink" xfId="703" builtinId="9" hidden="1"/>
    <cellStyle name="Followed Hyperlink" xfId="830" builtinId="9" hidden="1"/>
    <cellStyle name="Followed Hyperlink" xfId="190" builtinId="9" hidden="1"/>
    <cellStyle name="Followed Hyperlink" xfId="318" builtinId="9" hidden="1"/>
    <cellStyle name="Followed Hyperlink" xfId="958" builtinId="9" hidden="1"/>
    <cellStyle name="Followed Hyperlink" xfId="72" builtinId="9" hidden="1"/>
    <cellStyle name="Followed Hyperlink" xfId="243" builtinId="9" hidden="1"/>
    <cellStyle name="Followed Hyperlink" xfId="458" builtinId="9" hidden="1"/>
    <cellStyle name="Followed Hyperlink" xfId="701" builtinId="9" hidden="1"/>
    <cellStyle name="Followed Hyperlink" xfId="27" builtinId="9" hidden="1"/>
    <cellStyle name="Followed Hyperlink" xfId="456" builtinId="9" hidden="1"/>
    <cellStyle name="Followed Hyperlink" xfId="826" builtinId="9" hidden="1"/>
    <cellStyle name="Followed Hyperlink" xfId="76" builtinId="9" hidden="1"/>
    <cellStyle name="Followed Hyperlink" xfId="824" builtinId="9" hidden="1"/>
    <cellStyle name="Followed Hyperlink" xfId="186" builtinId="9" hidden="1"/>
    <cellStyle name="Followed Hyperlink" xfId="822" builtinId="9" hidden="1"/>
    <cellStyle name="Followed Hyperlink" xfId="80" builtinId="9" hidden="1"/>
    <cellStyle name="Followed Hyperlink" xfId="820" builtinId="9" hidden="1"/>
    <cellStyle name="Followed Hyperlink" xfId="563" builtinId="9" hidden="1"/>
    <cellStyle name="Followed Hyperlink" xfId="723" builtinId="9" hidden="1"/>
    <cellStyle name="Followed Hyperlink" xfId="84" builtinId="9" hidden="1"/>
    <cellStyle name="Followed Hyperlink" xfId="816" builtinId="9" hidden="1"/>
    <cellStyle name="Followed Hyperlink" xfId="182" builtinId="9" hidden="1"/>
    <cellStyle name="Followed Hyperlink" xfId="814" builtinId="9" hidden="1"/>
    <cellStyle name="Followed Hyperlink" xfId="88" builtinId="9" hidden="1"/>
    <cellStyle name="Followed Hyperlink" xfId="812" builtinId="9" hidden="1"/>
    <cellStyle name="Followed Hyperlink" xfId="235" builtinId="9" hidden="1"/>
    <cellStyle name="Followed Hyperlink" xfId="810" builtinId="9" hidden="1"/>
    <cellStyle name="Followed Hyperlink" xfId="92" builtinId="9" hidden="1"/>
    <cellStyle name="Followed Hyperlink" xfId="808" builtinId="9" hidden="1"/>
    <cellStyle name="Followed Hyperlink" xfId="178" builtinId="9" hidden="1"/>
    <cellStyle name="Followed Hyperlink" xfId="806" builtinId="9" hidden="1"/>
    <cellStyle name="Followed Hyperlink" xfId="96" builtinId="9" hidden="1"/>
    <cellStyle name="Followed Hyperlink" xfId="44" builtinId="9" hidden="1"/>
    <cellStyle name="Followed Hyperlink" xfId="836" builtinId="9" hidden="1"/>
    <cellStyle name="Followed Hyperlink" xfId="229" builtinId="9" hidden="1"/>
    <cellStyle name="Followed Hyperlink" xfId="516" builtinId="9" hidden="1"/>
    <cellStyle name="Followed Hyperlink" xfId="800" builtinId="9" hidden="1"/>
    <cellStyle name="Followed Hyperlink" xfId="170" builtinId="9" hidden="1"/>
    <cellStyle name="Followed Hyperlink" xfId="798" builtinId="9" hidden="1"/>
    <cellStyle name="Followed Hyperlink" xfId="104" builtinId="9" hidden="1"/>
    <cellStyle name="Followed Hyperlink" xfId="796" builtinId="9" hidden="1"/>
    <cellStyle name="Followed Hyperlink" xfId="283" builtinId="9" hidden="1"/>
    <cellStyle name="Followed Hyperlink" xfId="794" builtinId="9" hidden="1"/>
    <cellStyle name="Followed Hyperlink" xfId="108" builtinId="9" hidden="1"/>
    <cellStyle name="Followed Hyperlink" xfId="792" builtinId="9" hidden="1"/>
    <cellStyle name="Followed Hyperlink" xfId="166" builtinId="9" hidden="1"/>
    <cellStyle name="Followed Hyperlink" xfId="790" builtinId="9" hidden="1"/>
    <cellStyle name="Followed Hyperlink" xfId="112" builtinId="9" hidden="1"/>
    <cellStyle name="Followed Hyperlink" xfId="788" builtinId="9" hidden="1"/>
    <cellStyle name="Followed Hyperlink" xfId="610" builtinId="9" hidden="1"/>
    <cellStyle name="Followed Hyperlink" xfId="739" builtinId="9" hidden="1"/>
    <cellStyle name="Followed Hyperlink" xfId="116" builtinId="9" hidden="1"/>
    <cellStyle name="Followed Hyperlink" xfId="784" builtinId="9" hidden="1"/>
    <cellStyle name="Followed Hyperlink" xfId="162" builtinId="9" hidden="1"/>
    <cellStyle name="Followed Hyperlink" xfId="782" builtinId="9" hidden="1"/>
    <cellStyle name="Followed Hyperlink" xfId="120" builtinId="9" hidden="1"/>
    <cellStyle name="Followed Hyperlink" xfId="780" builtinId="9" hidden="1"/>
    <cellStyle name="Followed Hyperlink" xfId="314" builtinId="9" hidden="1"/>
    <cellStyle name="Followed Hyperlink" xfId="778" builtinId="9" hidden="1"/>
    <cellStyle name="Followed Hyperlink" xfId="124" builtinId="9" hidden="1"/>
    <cellStyle name="Followed Hyperlink" xfId="776" builtinId="9" hidden="1"/>
    <cellStyle name="Followed Hyperlink" xfId="154" builtinId="9" hidden="1"/>
    <cellStyle name="Followed Hyperlink" xfId="711" builtinId="9" hidden="1"/>
    <cellStyle name="Followed Hyperlink" xfId="194" builtinId="9" hidden="1"/>
    <cellStyle name="Followed Hyperlink" xfId="257" builtinId="9" hidden="1"/>
    <cellStyle name="Followed Hyperlink" xfId="25" builtinId="9" hidden="1"/>
    <cellStyle name="Followed Hyperlink" xfId="512" builtinId="9" hidden="1"/>
    <cellStyle name="Followed Hyperlink" xfId="263" builtinId="9" hidden="1"/>
    <cellStyle name="Followed Hyperlink" xfId="454" builtinId="9" hidden="1"/>
    <cellStyle name="Followed Hyperlink" xfId="768" builtinId="9" hidden="1"/>
    <cellStyle name="Followed Hyperlink" xfId="766" builtinId="9" hidden="1"/>
    <cellStyle name="Followed Hyperlink" xfId="136" builtinId="9" hidden="1"/>
    <cellStyle name="Followed Hyperlink" xfId="764" builtinId="9" hidden="1"/>
    <cellStyle name="Followed Hyperlink" xfId="346" builtinId="9" hidden="1"/>
    <cellStyle name="Followed Hyperlink" xfId="763" builtinId="9" hidden="1"/>
    <cellStyle name="Followed Hyperlink" xfId="140" builtinId="9" hidden="1"/>
    <cellStyle name="Followed Hyperlink" xfId="761" builtinId="9" hidden="1"/>
    <cellStyle name="Followed Hyperlink" xfId="146" builtinId="9" hidden="1"/>
    <cellStyle name="Followed Hyperlink" xfId="759" builtinId="9" hidden="1"/>
    <cellStyle name="Followed Hyperlink" xfId="144" builtinId="9" hidden="1"/>
    <cellStyle name="Followed Hyperlink" xfId="757" builtinId="9" hidden="1"/>
    <cellStyle name="Followed Hyperlink" xfId="595" builtinId="9" hidden="1"/>
    <cellStyle name="Followed Hyperlink" xfId="770" builtinId="9" hidden="1"/>
    <cellStyle name="Followed Hyperlink" xfId="148" builtinId="9" hidden="1"/>
    <cellStyle name="Followed Hyperlink" xfId="753" builtinId="9" hidden="1"/>
    <cellStyle name="Followed Hyperlink" xfId="138" builtinId="9" hidden="1"/>
    <cellStyle name="Followed Hyperlink" xfId="751" builtinId="9" hidden="1"/>
    <cellStyle name="Followed Hyperlink" xfId="152" builtinId="9" hidden="1"/>
    <cellStyle name="Followed Hyperlink" xfId="749" builtinId="9" hidden="1"/>
    <cellStyle name="Followed Hyperlink" xfId="379" builtinId="9" hidden="1"/>
    <cellStyle name="Followed Hyperlink" xfId="747" builtinId="9" hidden="1"/>
    <cellStyle name="Followed Hyperlink" xfId="156" builtinId="9" hidden="1"/>
    <cellStyle name="Followed Hyperlink" xfId="745" builtinId="9" hidden="1"/>
    <cellStyle name="Followed Hyperlink" xfId="134" builtinId="9" hidden="1"/>
    <cellStyle name="Followed Hyperlink" xfId="743" builtinId="9" hidden="1"/>
    <cellStyle name="Followed Hyperlink" xfId="160" builtinId="9" hidden="1"/>
    <cellStyle name="Followed Hyperlink" xfId="68" builtinId="9" hidden="1"/>
    <cellStyle name="Followed Hyperlink" xfId="869" builtinId="9" hidden="1"/>
    <cellStyle name="Followed Hyperlink" xfId="356" builtinId="9" hidden="1"/>
    <cellStyle name="Followed Hyperlink" xfId="452" builtinId="9" hidden="1"/>
    <cellStyle name="Followed Hyperlink" xfId="737" builtinId="9" hidden="1"/>
    <cellStyle name="Followed Hyperlink" xfId="130" builtinId="9" hidden="1"/>
    <cellStyle name="Followed Hyperlink" xfId="735" builtinId="9" hidden="1"/>
    <cellStyle name="Followed Hyperlink" xfId="168" builtinId="9" hidden="1"/>
    <cellStyle name="Followed Hyperlink" xfId="733" builtinId="9" hidden="1"/>
    <cellStyle name="Followed Hyperlink" xfId="411" builtinId="9" hidden="1"/>
    <cellStyle name="Followed Hyperlink" xfId="731" builtinId="9" hidden="1"/>
    <cellStyle name="Followed Hyperlink" xfId="172" builtinId="9" hidden="1"/>
    <cellStyle name="Followed Hyperlink" xfId="729" builtinId="9" hidden="1"/>
    <cellStyle name="Followed Hyperlink" xfId="122" builtinId="9" hidden="1"/>
    <cellStyle name="Followed Hyperlink" xfId="727" builtinId="9" hidden="1"/>
    <cellStyle name="Followed Hyperlink" xfId="176" builtinId="9" hidden="1"/>
    <cellStyle name="Followed Hyperlink" xfId="725" builtinId="9" hidden="1"/>
    <cellStyle name="Followed Hyperlink" xfId="579" builtinId="9" hidden="1"/>
    <cellStyle name="Followed Hyperlink" xfId="719" builtinId="9" hidden="1"/>
    <cellStyle name="Followed Hyperlink" xfId="74" builtinId="9" hidden="1"/>
    <cellStyle name="Followed Hyperlink" xfId="439" builtinId="9" hidden="1"/>
    <cellStyle name="Followed Hyperlink" xfId="721" builtinId="9" hidden="1"/>
    <cellStyle name="Followed Hyperlink" xfId="7" builtinId="9" hidden="1"/>
    <cellStyle name="Followed Hyperlink" xfId="437" builtinId="9" hidden="1"/>
    <cellStyle name="Followed Hyperlink" xfId="786" builtinId="9" hidden="1"/>
    <cellStyle name="Followed Hyperlink" xfId="466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460" builtinId="9" hidden="1"/>
    <cellStyle name="Followed Hyperlink" xfId="184" builtinId="9" hidden="1"/>
    <cellStyle name="Followed Hyperlink" xfId="205" builtinId="9" hidden="1"/>
    <cellStyle name="Followed Hyperlink" xfId="954" builtinId="9" hidden="1"/>
    <cellStyle name="Followed Hyperlink" xfId="443" builtinId="9" hidden="1"/>
    <cellStyle name="Followed Hyperlink" xfId="290" builtinId="9" hidden="1"/>
    <cellStyle name="Followed Hyperlink" xfId="699" builtinId="9" hidden="1"/>
    <cellStyle name="Followed Hyperlink" xfId="441" builtinId="9" hidden="1"/>
    <cellStyle name="Followed Hyperlink" xfId="9" builtinId="9" hidden="1"/>
    <cellStyle name="Followed Hyperlink" xfId="717" builtinId="9" hidden="1"/>
    <cellStyle name="Followed Hyperlink" xfId="207" builtinId="9" hidden="1"/>
    <cellStyle name="Followed Hyperlink" xfId="209" builtinId="9" hidden="1"/>
    <cellStyle name="Followed Hyperlink" xfId="547" builtinId="9" hidden="1"/>
    <cellStyle name="Followed Hyperlink" xfId="962" builtinId="9" hidden="1"/>
    <cellStyle name="Followed Hyperlink" xfId="948" builtinId="9" hidden="1"/>
    <cellStyle name="Followed Hyperlink" xfId="180" builtinId="9" hidden="1"/>
    <cellStyle name="Followed Hyperlink" xfId="464" builtinId="9" hidden="1"/>
    <cellStyle name="Followed Hyperlink" xfId="950" builtinId="9" hidden="1"/>
    <cellStyle name="Followed Hyperlink" xfId="118" builtinId="9" hidden="1"/>
    <cellStyle name="Followed Hyperlink" xfId="462" builtinId="9" hidden="1"/>
    <cellStyle name="Followed Hyperlink" xfId="952" builtinId="9" hidden="1"/>
    <cellStyle name="Followed Hyperlink" xfId="802" builtinId="9" hidden="1"/>
    <cellStyle name="Followed Hyperlink" xfId="213" builtinId="9" hidden="1"/>
    <cellStyle name="Followed Hyperlink" xfId="689" builtinId="9" hidden="1"/>
    <cellStyle name="Followed Hyperlink" xfId="215" builtinId="9" hidden="1"/>
    <cellStyle name="Followed Hyperlink" xfId="687" builtinId="9" hidden="1"/>
    <cellStyle name="Followed Hyperlink" xfId="217" builtinId="9" hidden="1"/>
    <cellStyle name="Followed Hyperlink" xfId="685" builtinId="9" hidden="1"/>
    <cellStyle name="Followed Hyperlink" xfId="435" builtinId="9" hidden="1"/>
    <cellStyle name="Followed Hyperlink" xfId="682" builtinId="9" hidden="1"/>
    <cellStyle name="Followed Hyperlink" xfId="221" builtinId="9" hidden="1"/>
    <cellStyle name="Followed Hyperlink" xfId="680" builtinId="9" hidden="1"/>
    <cellStyle name="Followed Hyperlink" xfId="223" builtinId="9" hidden="1"/>
    <cellStyle name="Followed Hyperlink" xfId="678" builtinId="9" hidden="1"/>
    <cellStyle name="Followed Hyperlink" xfId="225" builtinId="9" hidden="1"/>
    <cellStyle name="Followed Hyperlink" xfId="132" builtinId="9" hidden="1"/>
    <cellStyle name="Followed Hyperlink" xfId="741" builtinId="9" hidden="1"/>
    <cellStyle name="Followed Hyperlink" xfId="484" builtinId="9" hidden="1"/>
    <cellStyle name="Followed Hyperlink" xfId="421" builtinId="9" hidden="1"/>
    <cellStyle name="Followed Hyperlink" xfId="672" builtinId="9" hidden="1"/>
    <cellStyle name="Followed Hyperlink" xfId="231" builtinId="9" hidden="1"/>
    <cellStyle name="Followed Hyperlink" xfId="670" builtinId="9" hidden="1"/>
    <cellStyle name="Followed Hyperlink" xfId="233" builtinId="9" hidden="1"/>
    <cellStyle name="Followed Hyperlink" xfId="668" builtinId="9" hidden="1"/>
    <cellStyle name="Followed Hyperlink" xfId="427" builtinId="9" hidden="1"/>
    <cellStyle name="Followed Hyperlink" xfId="666" builtinId="9" hidden="1"/>
    <cellStyle name="Followed Hyperlink" xfId="237" builtinId="9" hidden="1"/>
    <cellStyle name="Followed Hyperlink" xfId="664" builtinId="9" hidden="1"/>
    <cellStyle name="Followed Hyperlink" xfId="239" builtinId="9" hidden="1"/>
    <cellStyle name="Followed Hyperlink" xfId="662" builtinId="9" hidden="1"/>
    <cellStyle name="Followed Hyperlink" xfId="241" builtinId="9" hidden="1"/>
    <cellStyle name="Followed Hyperlink" xfId="660" builtinId="9" hidden="1"/>
    <cellStyle name="Followed Hyperlink" xfId="531" builtinId="9" hidden="1"/>
    <cellStyle name="Followed Hyperlink" xfId="834" builtinId="9" hidden="1"/>
    <cellStyle name="Followed Hyperlink" xfId="245" builtinId="9" hidden="1"/>
    <cellStyle name="Followed Hyperlink" xfId="656" builtinId="9" hidden="1"/>
    <cellStyle name="Followed Hyperlink" xfId="247" builtinId="9" hidden="1"/>
    <cellStyle name="Followed Hyperlink" xfId="654" builtinId="9" hidden="1"/>
    <cellStyle name="Followed Hyperlink" xfId="249" builtinId="9" hidden="1"/>
    <cellStyle name="Followed Hyperlink" xfId="652" builtinId="9" hidden="1"/>
    <cellStyle name="Followed Hyperlink" xfId="419" builtinId="9" hidden="1"/>
    <cellStyle name="Followed Hyperlink" xfId="650" builtinId="9" hidden="1"/>
    <cellStyle name="Followed Hyperlink" xfId="253" builtinId="9" hidden="1"/>
    <cellStyle name="Followed Hyperlink" xfId="648" builtinId="9" hidden="1"/>
    <cellStyle name="Followed Hyperlink" xfId="255" builtinId="9" hidden="1"/>
    <cellStyle name="Followed Hyperlink" xfId="838" builtinId="9" hidden="1"/>
    <cellStyle name="Followed Hyperlink" xfId="150" builtinId="9" hidden="1"/>
    <cellStyle name="Followed Hyperlink" xfId="640" builtinId="9" hidden="1"/>
    <cellStyle name="Followed Hyperlink" xfId="192" builtinId="9" hidden="1"/>
    <cellStyle name="Followed Hyperlink" xfId="577" builtinId="9" hidden="1"/>
    <cellStyle name="Followed Hyperlink" xfId="518" builtinId="9" hidden="1"/>
    <cellStyle name="Followed Hyperlink" xfId="391" builtinId="9" hidden="1"/>
    <cellStyle name="Followed Hyperlink" xfId="832" builtinId="9" hidden="1"/>
    <cellStyle name="Followed Hyperlink" xfId="638" builtinId="9" hidden="1"/>
    <cellStyle name="Followed Hyperlink" xfId="265" builtinId="9" hidden="1"/>
    <cellStyle name="Followed Hyperlink" xfId="636" builtinId="9" hidden="1"/>
    <cellStyle name="Followed Hyperlink" xfId="403" builtinId="9" hidden="1"/>
    <cellStyle name="Followed Hyperlink" xfId="634" builtinId="9" hidden="1"/>
    <cellStyle name="Followed Hyperlink" xfId="269" builtinId="9" hidden="1"/>
    <cellStyle name="Followed Hyperlink" xfId="632" builtinId="9" hidden="1"/>
    <cellStyle name="Followed Hyperlink" xfId="271" builtinId="9" hidden="1"/>
    <cellStyle name="Followed Hyperlink" xfId="630" builtinId="9" hidden="1"/>
    <cellStyle name="Followed Hyperlink" xfId="273" builtinId="9" hidden="1"/>
    <cellStyle name="Followed Hyperlink" xfId="628" builtinId="9" hidden="1"/>
    <cellStyle name="Followed Hyperlink" xfId="626" builtinId="9" hidden="1"/>
    <cellStyle name="Followed Hyperlink" xfId="851" builtinId="9" hidden="1"/>
    <cellStyle name="Followed Hyperlink" xfId="277" builtinId="9" hidden="1"/>
    <cellStyle name="Followed Hyperlink" xfId="624" builtinId="9" hidden="1"/>
    <cellStyle name="Followed Hyperlink" xfId="279" builtinId="9" hidden="1"/>
    <cellStyle name="Followed Hyperlink" xfId="622" builtinId="9" hidden="1"/>
    <cellStyle name="Followed Hyperlink" xfId="281" builtinId="9" hidden="1"/>
    <cellStyle name="Followed Hyperlink" xfId="620" builtinId="9" hidden="1"/>
    <cellStyle name="Followed Hyperlink" xfId="395" builtinId="9" hidden="1"/>
    <cellStyle name="Followed Hyperlink" xfId="618" builtinId="9" hidden="1"/>
    <cellStyle name="Followed Hyperlink" xfId="284" builtinId="9" hidden="1"/>
    <cellStyle name="Followed Hyperlink" xfId="616" builtinId="9" hidden="1"/>
    <cellStyle name="Followed Hyperlink" xfId="286" builtinId="9" hidden="1"/>
    <cellStyle name="Followed Hyperlink" xfId="614" builtinId="9" hidden="1"/>
    <cellStyle name="Followed Hyperlink" xfId="288" builtinId="9" hidden="1"/>
    <cellStyle name="Followed Hyperlink" xfId="164" builtinId="9" hidden="1"/>
    <cellStyle name="Followed Hyperlink" xfId="644" builtinId="9" hidden="1"/>
    <cellStyle name="Followed Hyperlink" xfId="612" builtinId="9" hidden="1"/>
    <cellStyle name="Followed Hyperlink" xfId="389" builtinId="9" hidden="1"/>
    <cellStyle name="Followed Hyperlink" xfId="608" builtinId="9" hidden="1"/>
    <cellStyle name="Followed Hyperlink" xfId="294" builtinId="9" hidden="1"/>
    <cellStyle name="Followed Hyperlink" xfId="606" builtinId="9" hidden="1"/>
    <cellStyle name="Followed Hyperlink" xfId="296" builtinId="9" hidden="1"/>
    <cellStyle name="Followed Hyperlink" xfId="604" builtinId="9" hidden="1"/>
    <cellStyle name="Followed Hyperlink" xfId="387" builtinId="9" hidden="1"/>
    <cellStyle name="Followed Hyperlink" xfId="603" builtinId="9" hidden="1"/>
    <cellStyle name="Followed Hyperlink" xfId="300" builtinId="9" hidden="1"/>
    <cellStyle name="Followed Hyperlink" xfId="601" builtinId="9" hidden="1"/>
    <cellStyle name="Followed Hyperlink" xfId="302" builtinId="9" hidden="1"/>
    <cellStyle name="Followed Hyperlink" xfId="599" builtinId="9" hidden="1"/>
    <cellStyle name="Followed Hyperlink" xfId="304" builtinId="9" hidden="1"/>
    <cellStyle name="Followed Hyperlink" xfId="597" builtinId="9" hidden="1"/>
    <cellStyle name="Followed Hyperlink" xfId="691" builtinId="9" hidden="1"/>
    <cellStyle name="Followed Hyperlink" xfId="867" builtinId="9" hidden="1"/>
    <cellStyle name="Followed Hyperlink" xfId="308" builtinId="9" hidden="1"/>
    <cellStyle name="Followed Hyperlink" xfId="593" builtinId="9" hidden="1"/>
    <cellStyle name="Followed Hyperlink" xfId="310" builtinId="9" hidden="1"/>
    <cellStyle name="Followed Hyperlink" xfId="591" builtinId="9" hidden="1"/>
    <cellStyle name="Followed Hyperlink" xfId="312" builtinId="9" hidden="1"/>
    <cellStyle name="Followed Hyperlink" xfId="589" builtinId="9" hidden="1"/>
    <cellStyle name="Followed Hyperlink" xfId="371" builtinId="9" hidden="1"/>
    <cellStyle name="Followed Hyperlink" xfId="200" builtinId="9" hidden="1"/>
    <cellStyle name="Followed Hyperlink" xfId="444" builtinId="9" hidden="1"/>
    <cellStyle name="Followed Hyperlink" xfId="842" builtinId="9" hidden="1"/>
    <cellStyle name="Followed Hyperlink" xfId="450" builtinId="9" hidden="1"/>
    <cellStyle name="Followed Hyperlink" xfId="828" builtinId="9" hidden="1"/>
    <cellStyle name="Followed Hyperlink" xfId="575" builtinId="9" hidden="1"/>
    <cellStyle name="Followed Hyperlink" xfId="713" builtinId="9" hidden="1"/>
    <cellStyle name="Followed Hyperlink" xfId="114" builtinId="9" hidden="1"/>
    <cellStyle name="Followed Hyperlink" xfId="446" builtinId="9" hidden="1"/>
    <cellStyle name="Followed Hyperlink" xfId="840" builtinId="9" hidden="1"/>
    <cellStyle name="Followed Hyperlink" xfId="585" builtinId="9" hidden="1"/>
    <cellStyle name="Followed Hyperlink" xfId="587" builtinId="9" hidden="1"/>
    <cellStyle name="Followed Hyperlink" xfId="362" builtinId="9" hidden="1"/>
    <cellStyle name="Followed Hyperlink" xfId="956" builtinId="9" hidden="1"/>
    <cellStyle name="Followed Hyperlink" xfId="188" builtinId="9" hidden="1"/>
    <cellStyle name="Followed Hyperlink" xfId="328" builtinId="9" hidden="1"/>
    <cellStyle name="Followed Hyperlink" xfId="571" builtinId="9" hidden="1"/>
    <cellStyle name="Followed Hyperlink" xfId="332" builtinId="9" hidden="1"/>
    <cellStyle name="Followed Hyperlink" xfId="569" builtinId="9" hidden="1"/>
    <cellStyle name="Followed Hyperlink" xfId="334" builtinId="9" hidden="1"/>
    <cellStyle name="Followed Hyperlink" xfId="567" builtinId="9" hidden="1"/>
    <cellStyle name="Followed Hyperlink" xfId="336" builtinId="9" hidden="1"/>
    <cellStyle name="Followed Hyperlink" xfId="565" builtinId="9" hidden="1"/>
    <cellStyle name="Followed Hyperlink" xfId="755" builtinId="9" hidden="1"/>
    <cellStyle name="Followed Hyperlink" xfId="899" builtinId="9" hidden="1"/>
    <cellStyle name="Followed Hyperlink" xfId="340" builtinId="9" hidden="1"/>
    <cellStyle name="Followed Hyperlink" xfId="561" builtinId="9" hidden="1"/>
    <cellStyle name="Followed Hyperlink" xfId="342" builtinId="9" hidden="1"/>
    <cellStyle name="Followed Hyperlink" xfId="559" builtinId="9" hidden="1"/>
    <cellStyle name="Followed Hyperlink" xfId="344" builtinId="9" hidden="1"/>
    <cellStyle name="Followed Hyperlink" xfId="557" builtinId="9" hidden="1"/>
    <cellStyle name="Followed Hyperlink" xfId="354" builtinId="9" hidden="1"/>
    <cellStyle name="Followed Hyperlink" xfId="555" builtinId="9" hidden="1"/>
    <cellStyle name="Followed Hyperlink" xfId="348" builtinId="9" hidden="1"/>
    <cellStyle name="Followed Hyperlink" xfId="553" builtinId="9" hidden="1"/>
    <cellStyle name="Followed Hyperlink" xfId="350" builtinId="9" hidden="1"/>
    <cellStyle name="Followed Hyperlink" xfId="551" builtinId="9" hidden="1"/>
    <cellStyle name="Followed Hyperlink" xfId="352" builtinId="9" hidden="1"/>
    <cellStyle name="Followed Hyperlink" xfId="196" builtinId="9" hidden="1"/>
    <cellStyle name="Followed Hyperlink" xfId="676" builtinId="9" hidden="1"/>
    <cellStyle name="Followed Hyperlink" xfId="804" builtinId="9" hidden="1"/>
    <cellStyle name="Followed Hyperlink" xfId="324" builtinId="9" hidden="1"/>
    <cellStyle name="Followed Hyperlink" xfId="545" builtinId="9" hidden="1"/>
    <cellStyle name="Followed Hyperlink" xfId="358" builtinId="9" hidden="1"/>
    <cellStyle name="Followed Hyperlink" xfId="543" builtinId="9" hidden="1"/>
    <cellStyle name="Followed Hyperlink" xfId="360" builtinId="9" hidden="1"/>
    <cellStyle name="Followed Hyperlink" xfId="541" builtinId="9" hidden="1"/>
    <cellStyle name="Followed Hyperlink" xfId="338" builtinId="9" hidden="1"/>
    <cellStyle name="Followed Hyperlink" xfId="539" builtinId="9" hidden="1"/>
    <cellStyle name="Followed Hyperlink" xfId="365" builtinId="9" hidden="1"/>
    <cellStyle name="Followed Hyperlink" xfId="537" builtinId="9" hidden="1"/>
    <cellStyle name="Followed Hyperlink" xfId="367" builtinId="9" hidden="1"/>
    <cellStyle name="Followed Hyperlink" xfId="535" builtinId="9" hidden="1"/>
    <cellStyle name="Followed Hyperlink" xfId="369" builtinId="9" hidden="1"/>
    <cellStyle name="Followed Hyperlink" xfId="533" builtinId="9" hidden="1"/>
    <cellStyle name="Followed Hyperlink" xfId="818" builtinId="9" hidden="1"/>
    <cellStyle name="Followed Hyperlink" xfId="915" builtinId="9" hidden="1"/>
    <cellStyle name="Followed Hyperlink" xfId="373" builtinId="9" hidden="1"/>
    <cellStyle name="Followed Hyperlink" xfId="529" builtinId="9" hidden="1"/>
    <cellStyle name="Followed Hyperlink" xfId="375" builtinId="9" hidden="1"/>
    <cellStyle name="Followed Hyperlink" xfId="527" builtinId="9" hidden="1"/>
    <cellStyle name="Followed Hyperlink" xfId="377" builtinId="9" hidden="1"/>
    <cellStyle name="Followed Hyperlink" xfId="525" builtinId="9" hidden="1"/>
    <cellStyle name="Followed Hyperlink" xfId="330" builtinId="9" hidden="1"/>
    <cellStyle name="Followed Hyperlink" xfId="522" builtinId="9" hidden="1"/>
    <cellStyle name="Followed Hyperlink" xfId="381" builtinId="9" hidden="1"/>
    <cellStyle name="Followed Hyperlink" xfId="520" builtinId="9" hidden="1"/>
    <cellStyle name="Followed Hyperlink" xfId="383" builtinId="9" hidden="1"/>
    <cellStyle name="Followed Hyperlink" xfId="903" builtinId="9" hidden="1"/>
    <cellStyle name="Followed Hyperlink" xfId="198" builtinId="9" hidden="1"/>
    <cellStyle name="Followed Hyperlink" xfId="897" builtinId="9" hidden="1"/>
    <cellStyle name="Followed Hyperlink" xfId="128" builtinId="9" hidden="1"/>
    <cellStyle name="Followed Hyperlink" xfId="385" builtinId="9" hidden="1"/>
    <cellStyle name="Followed Hyperlink" xfId="774" builtinId="9" hidden="1"/>
    <cellStyle name="Followed Hyperlink" xfId="326" builtinId="9" hidden="1"/>
    <cellStyle name="Followed Hyperlink" xfId="960" builtinId="9" hidden="1"/>
    <cellStyle name="Followed Hyperlink" xfId="510" builtinId="9" hidden="1"/>
    <cellStyle name="Followed Hyperlink" xfId="393" builtinId="9" hidden="1"/>
    <cellStyle name="Followed Hyperlink" xfId="508" builtinId="9" hidden="1"/>
    <cellStyle name="Followed Hyperlink" xfId="322" builtinId="9" hidden="1"/>
    <cellStyle name="Followed Hyperlink" xfId="506" builtinId="9" hidden="1"/>
    <cellStyle name="Followed Hyperlink" xfId="397" builtinId="9" hidden="1"/>
    <cellStyle name="Followed Hyperlink" xfId="504" builtinId="9" hidden="1"/>
    <cellStyle name="Followed Hyperlink" xfId="399" builtinId="9" hidden="1"/>
    <cellStyle name="Followed Hyperlink" xfId="502" builtinId="9" hidden="1"/>
    <cellStyle name="Followed Hyperlink" xfId="401" builtinId="9" hidden="1"/>
    <cellStyle name="Followed Hyperlink" xfId="500" builtinId="9" hidden="1"/>
    <cellStyle name="Followed Hyperlink" xfId="883" builtinId="9" hidden="1"/>
    <cellStyle name="Followed Hyperlink" xfId="930" builtinId="9" hidden="1"/>
    <cellStyle name="Followed Hyperlink" xfId="405" builtinId="9" hidden="1"/>
    <cellStyle name="Followed Hyperlink" xfId="496" builtinId="9" hidden="1"/>
    <cellStyle name="Followed Hyperlink" xfId="407" builtinId="9" hidden="1"/>
    <cellStyle name="Followed Hyperlink" xfId="494" builtinId="9" hidden="1"/>
    <cellStyle name="Followed Hyperlink" xfId="409" builtinId="9" hidden="1"/>
    <cellStyle name="Followed Hyperlink" xfId="492" builtinId="9" hidden="1"/>
    <cellStyle name="Followed Hyperlink" xfId="306" builtinId="9" hidden="1"/>
    <cellStyle name="Followed Hyperlink" xfId="490" builtinId="9" hidden="1"/>
    <cellStyle name="Followed Hyperlink" xfId="413" builtinId="9" hidden="1"/>
    <cellStyle name="Followed Hyperlink" xfId="488" builtinId="9" hidden="1"/>
    <cellStyle name="Followed Hyperlink" xfId="415" builtinId="9" hidden="1"/>
    <cellStyle name="Followed Hyperlink" xfId="486" builtinId="9" hidden="1"/>
    <cellStyle name="Followed Hyperlink" xfId="417" builtinId="9" hidden="1"/>
    <cellStyle name="Followed Hyperlink" xfId="261" builtinId="9" hidden="1"/>
    <cellStyle name="Followed Hyperlink" xfId="709" builtinId="9" hidden="1"/>
    <cellStyle name="Followed Hyperlink" xfId="21" builtinId="9" hidden="1"/>
    <cellStyle name="Followed Hyperlink" xfId="429" builtinId="9" hidden="1"/>
    <cellStyle name="Followed Hyperlink" xfId="940" builtinId="9" hidden="1"/>
    <cellStyle name="Followed Hyperlink" xfId="211" builtinId="9" hidden="1"/>
    <cellStyle name="Followed Hyperlink" xfId="298" builtinId="9" hidden="1"/>
    <cellStyle name="Followed Hyperlink" xfId="938" builtinId="9" hidden="1"/>
    <cellStyle name="Followed Hyperlink" xfId="19" builtinId="9" hidden="1"/>
    <cellStyle name="Followed Hyperlink" xfId="425" builtinId="9" hidden="1"/>
    <cellStyle name="Followed Hyperlink" xfId="936" builtinId="9" hidden="1"/>
    <cellStyle name="Followed Hyperlink" xfId="78" builtinId="9" hidden="1"/>
    <cellStyle name="Followed Hyperlink" xfId="423" builtinId="9" hidden="1"/>
    <cellStyle name="Followed Hyperlink" xfId="934" builtinId="9" hidden="1"/>
    <cellStyle name="Followed Hyperlink" xfId="17" builtinId="9" hidden="1"/>
    <cellStyle name="Followed Hyperlink" xfId="292" builtinId="9" hidden="1"/>
    <cellStyle name="Followed Hyperlink" xfId="3" builtinId="9" hidden="1"/>
    <cellStyle name="Followed Hyperlink" xfId="932" builtinId="9" hidden="1"/>
    <cellStyle name="Followed Hyperlink" xfId="772" builtinId="9" hidden="1"/>
    <cellStyle name="Followed Hyperlink" xfId="480" builtinId="9" hidden="1"/>
    <cellStyle name="Followed Hyperlink" xfId="478" builtinId="9" hidden="1"/>
    <cellStyle name="Followed Hyperlink" xfId="476" builtinId="9" hidden="1"/>
    <cellStyle name="Followed Hyperlink" xfId="474" builtinId="9" hidden="1"/>
    <cellStyle name="Followed Hyperlink" xfId="472" builtinId="9" hidden="1"/>
    <cellStyle name="Followed Hyperlink" xfId="433" builtinId="9" hidden="1"/>
    <cellStyle name="Followed Hyperlink" xfId="944" builtinId="9" hidden="1"/>
    <cellStyle name="Followed Hyperlink" xfId="82" builtinId="9" hidden="1"/>
    <cellStyle name="Followed Hyperlink" xfId="431" builtinId="9" hidden="1"/>
    <cellStyle name="Followed Hyperlink" xfId="942" builtinId="9" hidden="1"/>
    <cellStyle name="Followed Hyperlink" xfId="470" builtinId="9" hidden="1"/>
    <cellStyle name="Followed Hyperlink" xfId="468" builtinId="9" hidden="1"/>
    <cellStyle name="Followed Hyperlink" xfId="15" builtinId="9" hidden="1"/>
    <cellStyle name="Followed Hyperlink" xfId="642" builtinId="9" hidden="1"/>
    <cellStyle name="Followed Hyperlink" xfId="946" builtinId="9" hidden="1"/>
    <cellStyle name="Good" xfId="965" builtinId="26"/>
    <cellStyle name="Hyperlink" xfId="819" builtinId="8" hidden="1"/>
    <cellStyle name="Hyperlink" xfId="906" builtinId="8" hidden="1"/>
    <cellStyle name="Hyperlink" xfId="852" builtinId="8" hidden="1"/>
    <cellStyle name="Hyperlink" xfId="34" builtinId="8" hidden="1"/>
    <cellStyle name="Hyperlink" xfId="113" builtinId="8" hidden="1"/>
    <cellStyle name="Hyperlink" xfId="117" builtinId="8" hidden="1"/>
    <cellStyle name="Hyperlink" xfId="81" builtinId="8" hidden="1"/>
    <cellStyle name="Hyperlink" xfId="195" builtinId="8" hidden="1"/>
    <cellStyle name="Hyperlink" xfId="71" builtinId="8" hidden="1"/>
    <cellStyle name="Hyperlink" xfId="95" builtinId="8" hidden="1"/>
    <cellStyle name="Hyperlink" xfId="149" builtinId="8" hidden="1"/>
    <cellStyle name="Hyperlink" xfId="85" builtinId="8" hidden="1"/>
    <cellStyle name="Hyperlink" xfId="262" builtinId="8" hidden="1"/>
    <cellStyle name="Hyperlink" xfId="38" builtinId="8" hidden="1"/>
    <cellStyle name="Hyperlink" xfId="26" builtinId="8" hidden="1"/>
    <cellStyle name="Hyperlink" xfId="16" builtinId="8" hidden="1"/>
    <cellStyle name="Hyperlink" xfId="805" builtinId="8" hidden="1"/>
    <cellStyle name="Hyperlink" xfId="785" builtinId="8" hidden="1"/>
    <cellStyle name="Hyperlink" xfId="730" builtinId="8" hidden="1"/>
    <cellStyle name="Hyperlink" xfId="696" builtinId="8" hidden="1"/>
    <cellStyle name="Hyperlink" xfId="637" builtinId="8" hidden="1"/>
    <cellStyle name="Hyperlink" xfId="615" builtinId="8" hidden="1"/>
    <cellStyle name="Hyperlink" xfId="807" builtinId="8" hidden="1"/>
    <cellStyle name="Hyperlink" xfId="935" builtinId="8" hidden="1"/>
    <cellStyle name="Hyperlink" xfId="843" builtinId="8" hidden="1"/>
    <cellStyle name="Hyperlink" xfId="297" builtinId="8" hidden="1"/>
    <cellStyle name="Hyperlink" xfId="280" builtinId="8" hidden="1"/>
    <cellStyle name="Hyperlink" xfId="242" builtinId="8" hidden="1"/>
    <cellStyle name="Hyperlink" xfId="177" builtinId="8" hidden="1"/>
    <cellStyle name="Hyperlink" xfId="125" builtinId="8" hidden="1"/>
    <cellStyle name="Hyperlink" xfId="137" builtinId="8" hidden="1"/>
    <cellStyle name="Hyperlink" xfId="36" builtinId="8" hidden="1"/>
    <cellStyle name="Hyperlink" xfId="49" builtinId="8" hidden="1"/>
    <cellStyle name="Hyperlink" xfId="53" builtinId="8" hidden="1"/>
    <cellStyle name="Hyperlink" xfId="129" builtinId="8" hidden="1"/>
    <cellStyle name="Hyperlink" xfId="18" builtinId="8" hidden="1"/>
    <cellStyle name="Hyperlink" xfId="115" builtinId="8" hidden="1"/>
    <cellStyle name="Hyperlink" xfId="101" builtinId="8" hidden="1"/>
    <cellStyle name="Hyperlink" xfId="179" builtinId="8" hidden="1"/>
    <cellStyle name="Hyperlink" xfId="333" builtinId="8" hidden="1"/>
    <cellStyle name="Hyperlink" xfId="2" builtinId="8" hidden="1"/>
    <cellStyle name="Hyperlink" xfId="6" builtinId="8" hidden="1"/>
    <cellStyle name="Hyperlink" xfId="51" builtinId="8" hidden="1"/>
    <cellStyle name="Hyperlink" xfId="872" builtinId="8" hidden="1"/>
    <cellStyle name="Hyperlink" xfId="28" builtinId="8" hidden="1"/>
    <cellStyle name="Hyperlink" xfId="12" builtinId="8" hidden="1"/>
    <cellStyle name="Hyperlink" xfId="47" builtinId="8" hidden="1"/>
    <cellStyle name="Hyperlink" xfId="59" builtinId="8" hidden="1"/>
    <cellStyle name="Hyperlink" xfId="147" builtinId="8" hidden="1"/>
    <cellStyle name="Hyperlink" xfId="252" builtinId="8" hidden="1"/>
    <cellStyle name="Hyperlink" xfId="91" builtinId="8" hidden="1"/>
    <cellStyle name="Hyperlink" xfId="566" builtinId="8" hidden="1"/>
    <cellStyle name="Hyperlink" xfId="767" builtinId="8" hidden="1"/>
    <cellStyle name="Hyperlink" xfId="621" builtinId="8" hidden="1"/>
    <cellStyle name="Hyperlink" xfId="203" builtinId="8" hidden="1"/>
    <cellStyle name="Hyperlink" xfId="111" builtinId="8" hidden="1"/>
    <cellStyle name="Hyperlink" xfId="89" builtinId="8" hidden="1"/>
    <cellStyle name="Hyperlink" xfId="105" builtinId="8" hidden="1"/>
    <cellStyle name="Hyperlink" xfId="32" builtinId="8" hidden="1"/>
    <cellStyle name="Hyperlink" xfId="246" builtinId="8" hidden="1"/>
    <cellStyle name="Hyperlink" xfId="459" builtinId="8" hidden="1"/>
    <cellStyle name="Hyperlink" xfId="291" builtinId="8" hidden="1"/>
    <cellStyle name="Hyperlink" xfId="327" builtinId="8" hidden="1"/>
    <cellStyle name="Hyperlink" xfId="293" builtinId="8" hidden="1"/>
    <cellStyle name="Hyperlink" xfId="230" builtinId="8" hidden="1"/>
    <cellStyle name="Hyperlink" xfId="201" builtinId="8" hidden="1"/>
    <cellStyle name="Hyperlink" xfId="167" builtinId="8" hidden="1"/>
    <cellStyle name="Hyperlink" xfId="515" builtinId="8" hidden="1"/>
    <cellStyle name="Hyperlink" xfId="619" builtinId="8" hidden="1"/>
    <cellStyle name="Hyperlink" xfId="42" builtinId="8" hidden="1"/>
    <cellStyle name="Hyperlink" xfId="159" builtinId="8" hidden="1"/>
    <cellStyle name="Hyperlink" xfId="546" builtinId="8" hidden="1"/>
    <cellStyle name="Hyperlink" xfId="868" builtinId="8" hidden="1"/>
    <cellStyle name="Hyperlink" xfId="675" builtinId="8" hidden="1"/>
    <cellStyle name="Hyperlink" xfId="248" builtinId="8" hidden="1"/>
    <cellStyle name="Hyperlink" xfId="445" builtinId="8" hidden="1"/>
    <cellStyle name="Hyperlink" xfId="349" builtinId="8" hidden="1"/>
    <cellStyle name="Hyperlink" xfId="718" builtinId="8" hidden="1"/>
    <cellStyle name="Hyperlink" xfId="410" builtinId="8" hidden="1"/>
    <cellStyle name="Hyperlink" xfId="398" builtinId="8" hidden="1"/>
    <cellStyle name="Hyperlink" xfId="193" builtinId="8" hidden="1"/>
    <cellStyle name="Hyperlink" xfId="823" builtinId="8" hidden="1"/>
    <cellStyle name="Hyperlink" xfId="635" builtinId="8" hidden="1"/>
    <cellStyle name="Hyperlink" xfId="418" builtinId="8" hidden="1"/>
    <cellStyle name="Hyperlink" xfId="916" builtinId="8" hidden="1"/>
    <cellStyle name="Hyperlink" xfId="722" builtinId="8" hidden="1"/>
    <cellStyle name="Hyperlink" xfId="734" builtinId="8" hidden="1"/>
    <cellStyle name="Hyperlink" xfId="234" builtinId="8" hidden="1"/>
    <cellStyle name="Hyperlink" xfId="220" builtinId="8" hidden="1"/>
    <cellStyle name="Hyperlink" xfId="651" builtinId="8" hidden="1"/>
    <cellStyle name="Hyperlink" xfId="835" builtinId="8" hidden="1"/>
    <cellStyle name="Hyperlink" xfId="943" builtinId="8" hidden="1"/>
    <cellStyle name="Hyperlink" xfId="876" builtinId="8" hidden="1"/>
    <cellStyle name="Hyperlink" xfId="927" builtinId="8" hidden="1"/>
    <cellStyle name="Hyperlink" xfId="667" builtinId="8" hidden="1"/>
    <cellStyle name="Hyperlink" xfId="771" builtinId="8" hidden="1"/>
    <cellStyle name="Hyperlink" xfId="165" builtinId="8" hidden="1"/>
    <cellStyle name="Hyperlink" xfId="345" builtinId="8" hidden="1"/>
    <cellStyle name="Hyperlink" xfId="803" builtinId="8" hidden="1"/>
    <cellStyle name="Hyperlink" xfId="888" builtinId="8" hidden="1"/>
    <cellStyle name="Hyperlink" xfId="848" builtinId="8" hidden="1"/>
    <cellStyle name="Hyperlink" xfId="519" builtinId="8" hidden="1"/>
    <cellStyle name="Hyperlink" xfId="197" builtinId="8" hidden="1"/>
    <cellStyle name="Hyperlink" xfId="884" builtinId="8" hidden="1"/>
    <cellStyle name="Hyperlink" xfId="684" builtinId="8" hidden="1"/>
    <cellStyle name="Hyperlink" xfId="922" builtinId="8" hidden="1"/>
    <cellStyle name="Hyperlink" xfId="191" builtinId="8" hidden="1"/>
    <cellStyle name="Hyperlink" xfId="467" builtinId="8" hidden="1"/>
    <cellStyle name="Hyperlink" xfId="862" builtinId="8" hidden="1"/>
    <cellStyle name="Hyperlink" xfId="746" builtinId="8" hidden="1"/>
    <cellStyle name="Hyperlink" xfId="690" builtinId="8" hidden="1"/>
    <cellStyle name="Hyperlink" xfId="24" builtinId="8" hidden="1"/>
    <cellStyle name="Hyperlink" xfId="79" builtinId="8" hidden="1"/>
    <cellStyle name="Hyperlink" xfId="83" builtinId="8" hidden="1"/>
    <cellStyle name="Hyperlink" xfId="103" builtinId="8" hidden="1"/>
    <cellStyle name="Hyperlink" xfId="139" builtinId="8" hidden="1"/>
    <cellStyle name="Hyperlink" xfId="14" builtinId="8" hidden="1"/>
    <cellStyle name="Hyperlink" xfId="224" builtinId="8" hidden="1"/>
    <cellStyle name="Hyperlink" xfId="65" builtinId="8" hidden="1"/>
    <cellStyle name="Hyperlink" xfId="20" builtinId="8" hidden="1"/>
    <cellStyle name="Hyperlink" xfId="554" builtinId="8" hidden="1"/>
    <cellStyle name="Hyperlink" xfId="97" builtinId="8" hidden="1"/>
    <cellStyle name="Hyperlink" xfId="141" builtinId="8" hidden="1"/>
    <cellStyle name="Hyperlink" xfId="925" builtinId="8" hidden="1"/>
    <cellStyle name="Hyperlink" xfId="607" builtinId="8" hidden="1"/>
    <cellStyle name="Hyperlink" xfId="752" builtinId="8" hidden="1"/>
    <cellStyle name="Hyperlink" xfId="801" builtinId="8" hidden="1"/>
    <cellStyle name="Hyperlink" xfId="357" builtinId="8" hidden="1"/>
    <cellStyle name="Hyperlink" xfId="376" builtinId="8" hidden="1"/>
    <cellStyle name="Hyperlink" xfId="402" builtinId="8" hidden="1"/>
    <cellStyle name="Hyperlink" xfId="505" builtinId="8" hidden="1"/>
    <cellStyle name="Hyperlink" xfId="461" builtinId="8" hidden="1"/>
    <cellStyle name="Hyperlink" xfId="442" builtinId="8" hidden="1"/>
    <cellStyle name="Hyperlink" xfId="499" builtinId="8" hidden="1"/>
    <cellStyle name="Hyperlink" xfId="596" builtinId="8" hidden="1"/>
    <cellStyle name="Hyperlink" xfId="683" builtinId="8" hidden="1"/>
    <cellStyle name="Hyperlink" xfId="787" builtinId="8" hidden="1"/>
    <cellStyle name="Hyperlink" xfId="945" builtinId="8" hidden="1"/>
    <cellStyle name="Hyperlink" xfId="914" builtinId="8" hidden="1"/>
    <cellStyle name="Hyperlink" xfId="829" builtinId="8" hidden="1"/>
    <cellStyle name="Hyperlink" xfId="817" builtinId="8" hidden="1"/>
    <cellStyle name="Hyperlink" xfId="560" builtinId="8" hidden="1"/>
    <cellStyle name="Hyperlink" xfId="574" builtinId="8" hidden="1"/>
    <cellStyle name="Hyperlink" xfId="586" builtinId="8" hidden="1"/>
    <cellStyle name="Hyperlink" xfId="602" builtinId="8" hidden="1"/>
    <cellStyle name="Hyperlink" xfId="623" builtinId="8" hidden="1"/>
    <cellStyle name="Hyperlink" xfId="629" builtinId="8" hidden="1"/>
    <cellStyle name="Hyperlink" xfId="639" builtinId="8" hidden="1"/>
    <cellStyle name="Hyperlink" xfId="661" builtinId="8" hidden="1"/>
    <cellStyle name="Hyperlink" xfId="677" builtinId="8" hidden="1"/>
    <cellStyle name="Hyperlink" xfId="681" builtinId="8" hidden="1"/>
    <cellStyle name="Hyperlink" xfId="706" builtinId="8" hidden="1"/>
    <cellStyle name="Hyperlink" xfId="714" builtinId="8" hidden="1"/>
    <cellStyle name="Hyperlink" xfId="726" builtinId="8" hidden="1"/>
    <cellStyle name="Hyperlink" xfId="760" builtinId="8" hidden="1"/>
    <cellStyle name="Hyperlink" xfId="762" builtinId="8" hidden="1"/>
    <cellStyle name="Hyperlink" xfId="769" builtinId="8" hidden="1"/>
    <cellStyle name="Hyperlink" xfId="791" builtinId="8" hidden="1"/>
    <cellStyle name="Hyperlink" xfId="799" builtinId="8" hidden="1"/>
    <cellStyle name="Hyperlink" xfId="775" builtinId="8" hidden="1"/>
    <cellStyle name="Hyperlink" xfId="783" builtinId="8" hidden="1"/>
    <cellStyle name="Hyperlink" xfId="686" builtinId="8" hidden="1"/>
    <cellStyle name="Hyperlink" xfId="653" builtinId="8" hidden="1"/>
    <cellStyle name="Hyperlink" xfId="793" builtinId="8" hidden="1"/>
    <cellStyle name="Hyperlink" xfId="744" builtinId="8" hidden="1"/>
    <cellStyle name="Hyperlink" xfId="598" builtinId="8" hidden="1"/>
    <cellStyle name="Hyperlink" xfId="645" builtinId="8" hidden="1"/>
    <cellStyle name="Hyperlink" xfId="712" builtinId="8" hidden="1"/>
    <cellStyle name="Hyperlink" xfId="738" builtinId="8" hidden="1"/>
    <cellStyle name="Hyperlink" xfId="592" builtinId="8" hidden="1"/>
    <cellStyle name="Hyperlink" xfId="904" builtinId="8" hidden="1"/>
    <cellStyle name="Hyperlink" xfId="372" builtinId="8" hidden="1"/>
    <cellStyle name="Hyperlink" xfId="10" builtinId="8" hidden="1"/>
    <cellStyle name="Hyperlink" xfId="307" builtinId="8" hidden="1"/>
    <cellStyle name="Hyperlink" xfId="45" builtinId="8" hidden="1"/>
    <cellStyle name="Hyperlink" xfId="109" builtinId="8" hidden="1"/>
    <cellStyle name="Hyperlink" xfId="392" builtinId="8" hidden="1"/>
    <cellStyle name="Hyperlink" xfId="477" builtinId="8" hidden="1"/>
    <cellStyle name="Hyperlink" xfId="495" builtinId="8" hidden="1"/>
    <cellStyle name="Hyperlink" xfId="501" builtinId="8" hidden="1"/>
    <cellStyle name="Hyperlink" xfId="509" builtinId="8" hidden="1"/>
    <cellStyle name="Hyperlink" xfId="447" builtinId="8" hidden="1"/>
    <cellStyle name="Hyperlink" xfId="605" builtinId="8" hidden="1"/>
    <cellStyle name="Hyperlink" xfId="440" builtinId="8" hidden="1"/>
    <cellStyle name="Hyperlink" xfId="471" builtinId="8" hidden="1"/>
    <cellStyle name="Hyperlink" xfId="426" builtinId="8" hidden="1"/>
    <cellStyle name="Hyperlink" xfId="406" builtinId="8" hidden="1"/>
    <cellStyle name="Hyperlink" xfId="457" builtinId="8" hidden="1"/>
    <cellStyle name="Hyperlink" xfId="631" builtinId="8" hidden="1"/>
    <cellStyle name="Hyperlink" xfId="765" builtinId="8" hidden="1"/>
    <cellStyle name="Hyperlink" xfId="503" builtinId="8" hidden="1"/>
    <cellStyle name="Hyperlink" xfId="382" builtinId="8" hidden="1"/>
    <cellStyle name="Hyperlink" xfId="368" builtinId="8" hidden="1"/>
    <cellStyle name="Hyperlink" xfId="299" builtinId="8" hidden="1"/>
    <cellStyle name="Hyperlink" xfId="232" builtinId="8" hidden="1"/>
    <cellStyle name="Hyperlink" xfId="341" builtinId="8" hidden="1"/>
    <cellStyle name="Hyperlink" xfId="295" builtinId="8" hidden="1"/>
    <cellStyle name="Hyperlink" xfId="254" builtinId="8" hidden="1"/>
    <cellStyle name="Hyperlink" xfId="238" builtinId="8" hidden="1"/>
    <cellStyle name="Hyperlink" xfId="171" builtinId="8" hidden="1"/>
    <cellStyle name="Hyperlink" xfId="355" builtinId="8" hidden="1"/>
    <cellStyle name="Hyperlink" xfId="420" builtinId="8" hidden="1"/>
    <cellStyle name="Hyperlink" xfId="212" builtinId="8" hidden="1"/>
    <cellStyle name="Hyperlink" xfId="121" builtinId="8" hidden="1"/>
    <cellStyle name="Hyperlink" xfId="378" builtinId="8" hidden="1"/>
    <cellStyle name="Hyperlink" xfId="777" builtinId="8" hidden="1"/>
    <cellStyle name="Hyperlink" xfId="742" builtinId="8" hidden="1"/>
    <cellStyle name="Hyperlink" xfId="728" builtinId="8" hidden="1"/>
    <cellStyle name="Hyperlink" xfId="665" builtinId="8" hidden="1"/>
    <cellStyle name="Hyperlink" xfId="641" builtinId="8" hidden="1"/>
    <cellStyle name="Hyperlink" xfId="582" builtinId="8" hidden="1"/>
    <cellStyle name="Hyperlink" xfId="366" builtinId="8" hidden="1"/>
    <cellStyle name="Hyperlink" xfId="528" builtinId="8" hidden="1"/>
    <cellStyle name="Hyperlink" xfId="530" builtinId="8" hidden="1"/>
    <cellStyle name="Hyperlink" xfId="394" builtinId="8" hidden="1"/>
    <cellStyle name="Hyperlink" xfId="400" builtinId="8" hidden="1"/>
    <cellStyle name="Hyperlink" xfId="416" builtinId="8" hidden="1"/>
    <cellStyle name="Hyperlink" xfId="430" builtinId="8" hidden="1"/>
    <cellStyle name="Hyperlink" xfId="517" builtinId="8" hidden="1"/>
    <cellStyle name="Hyperlink" xfId="370" builtinId="8" hidden="1"/>
    <cellStyle name="Hyperlink" xfId="497" builtinId="8" hidden="1"/>
    <cellStyle name="Hyperlink" xfId="526" builtinId="8" hidden="1"/>
    <cellStyle name="Hyperlink" xfId="513" builtinId="8" hidden="1"/>
    <cellStyle name="Hyperlink" xfId="584" builtinId="8" hidden="1"/>
    <cellStyle name="Hyperlink" xfId="754" builtinId="8" hidden="1"/>
    <cellStyle name="Hyperlink" xfId="386" builtinId="8" hidden="1"/>
    <cellStyle name="Hyperlink" xfId="351" builtinId="8" hidden="1"/>
    <cellStyle name="Hyperlink" xfId="353" builtinId="8" hidden="1"/>
    <cellStyle name="Hyperlink" xfId="414" builtinId="8" hidden="1"/>
    <cellStyle name="Hyperlink" xfId="692" builtinId="8" hidden="1"/>
    <cellStyle name="Hyperlink" xfId="564" builtinId="8" hidden="1"/>
    <cellStyle name="Hyperlink" xfId="374" builtinId="8" hidden="1"/>
    <cellStyle name="Hyperlink" xfId="361" builtinId="8" hidden="1"/>
    <cellStyle name="Hyperlink" xfId="469" builtinId="8" hidden="1"/>
    <cellStyle name="Hyperlink" xfId="432" builtinId="8" hidden="1"/>
    <cellStyle name="Hyperlink" xfId="424" builtinId="8" hidden="1"/>
    <cellStyle name="Hyperlink" xfId="542" builtinId="8" hidden="1"/>
    <cellStyle name="Hyperlink" xfId="594" builtinId="8" hidden="1"/>
    <cellStyle name="Hyperlink" xfId="679" builtinId="8" hidden="1"/>
    <cellStyle name="Hyperlink" xfId="465" builtinId="8" hidden="1"/>
    <cellStyle name="Hyperlink" xfId="556" builtinId="8" hidden="1"/>
    <cellStyle name="Hyperlink" xfId="214" builtinId="8" hidden="1"/>
    <cellStyle name="Hyperlink" xfId="319" builtinId="8" hidden="1"/>
    <cellStyle name="Hyperlink" xfId="153" builtinId="8" hidden="1"/>
    <cellStyle name="Hyperlink" xfId="669" builtinId="8" hidden="1"/>
    <cellStyle name="Hyperlink" xfId="521" builtinId="8" hidden="1"/>
    <cellStyle name="Hyperlink" xfId="449" builtinId="8" hidden="1"/>
    <cellStyle name="Hyperlink" xfId="463" builtinId="8" hidden="1"/>
    <cellStyle name="Hyperlink" xfId="481" builtinId="8" hidden="1"/>
    <cellStyle name="Hyperlink" xfId="523" builtinId="8" hidden="1"/>
    <cellStyle name="Hyperlink" xfId="390" builtinId="8" hidden="1"/>
    <cellStyle name="Hyperlink" xfId="671" builtinId="8" hidden="1"/>
    <cellStyle name="Hyperlink" xfId="550" builtinId="8" hidden="1"/>
    <cellStyle name="Hyperlink" xfId="720" builtinId="8" hidden="1"/>
    <cellStyle name="Hyperlink" xfId="647" builtinId="8" hidden="1"/>
    <cellStyle name="Hyperlink" xfId="781" builtinId="8" hidden="1"/>
    <cellStyle name="Hyperlink" xfId="736" builtinId="8" hidden="1"/>
    <cellStyle name="Hyperlink" xfId="702" builtinId="8" hidden="1"/>
    <cellStyle name="Hyperlink" xfId="649" builtinId="8" hidden="1"/>
    <cellStyle name="Hyperlink" xfId="613" builtinId="8" hidden="1"/>
    <cellStyle name="Hyperlink" xfId="568" builtinId="8" hidden="1"/>
    <cellStyle name="Hyperlink" xfId="850" builtinId="8" hidden="1"/>
    <cellStyle name="Hyperlink" xfId="756" builtinId="8" hidden="1"/>
    <cellStyle name="Hyperlink" xfId="625" builtinId="8" hidden="1"/>
    <cellStyle name="Hyperlink" xfId="455" builtinId="8" hidden="1"/>
    <cellStyle name="Hyperlink" xfId="489" builtinId="8" hidden="1"/>
    <cellStyle name="Hyperlink" xfId="558" builtinId="8" hidden="1"/>
    <cellStyle name="Hyperlink" xfId="540" builtinId="8" hidden="1"/>
    <cellStyle name="Hyperlink" xfId="127" builtinId="8" hidden="1"/>
    <cellStyle name="Hyperlink" xfId="63" builtinId="8" hidden="1"/>
    <cellStyle name="Hyperlink" xfId="216" builtinId="8" hidden="1"/>
    <cellStyle name="Hyperlink" xfId="600" builtinId="8" hidden="1"/>
    <cellStyle name="Hyperlink" xfId="937" builtinId="8" hidden="1"/>
    <cellStyle name="Hyperlink" xfId="947" builtinId="8" hidden="1"/>
    <cellStyle name="Hyperlink" xfId="809" builtinId="8" hidden="1"/>
    <cellStyle name="Hyperlink" xfId="264" builtinId="8" hidden="1"/>
    <cellStyle name="Hyperlink" xfId="886" builtinId="8" hidden="1"/>
    <cellStyle name="Hyperlink" xfId="572" builtinId="8" hidden="1"/>
    <cellStyle name="Hyperlink" xfId="827" builtinId="8" hidden="1"/>
    <cellStyle name="Hyperlink" xfId="609" builtinId="8" hidden="1"/>
    <cellStyle name="Hyperlink" xfId="77" builtinId="8" hidden="1"/>
    <cellStyle name="Hyperlink" xfId="562" builtinId="8" hidden="1"/>
    <cellStyle name="Hyperlink" xfId="169" builtinId="8" hidden="1"/>
    <cellStyle name="Hyperlink" xfId="902" builtinId="8" hidden="1"/>
    <cellStyle name="Hyperlink" xfId="57" builtinId="8" hidden="1"/>
    <cellStyle name="Hyperlink" xfId="380" builtinId="8" hidden="1"/>
    <cellStyle name="Hyperlink" xfId="268" builtinId="8" hidden="1"/>
    <cellStyle name="Hyperlink" xfId="282" builtinId="8" hidden="1"/>
    <cellStyle name="Hyperlink" xfId="67" builtinId="8" hidden="1"/>
    <cellStyle name="Hyperlink" xfId="133" builtinId="8" hidden="1"/>
    <cellStyle name="Hyperlink" xfId="657" builtinId="8" hidden="1"/>
    <cellStyle name="Hyperlink" xfId="187" builtinId="8" hidden="1"/>
    <cellStyle name="Hyperlink" xfId="93" builtinId="8" hidden="1"/>
    <cellStyle name="Hyperlink" xfId="532" builtinId="8" hidden="1"/>
    <cellStyle name="Hyperlink" xfId="30" builtinId="8" hidden="1"/>
    <cellStyle name="Hyperlink" xfId="135" builtinId="8" hidden="1"/>
    <cellStyle name="Hyperlink" xfId="69" builtinId="8" hidden="1"/>
    <cellStyle name="Hyperlink" xfId="145" builtinId="8" hidden="1"/>
    <cellStyle name="Hyperlink" xfId="206" builtinId="8" hidden="1"/>
    <cellStyle name="Hyperlink" xfId="325" builtinId="8" hidden="1"/>
    <cellStyle name="Hyperlink" xfId="578" builtinId="8" hidden="1"/>
    <cellStyle name="Hyperlink" xfId="710" builtinId="8" hidden="1"/>
    <cellStyle name="Hyperlink" xfId="750" builtinId="8" hidden="1"/>
    <cellStyle name="Hyperlink" xfId="315" builtinId="8" hidden="1"/>
    <cellStyle name="Hyperlink" xfId="61" builtinId="8" hidden="1"/>
    <cellStyle name="Hyperlink" xfId="163" builtinId="8" hidden="1"/>
    <cellStyle name="Hyperlink" xfId="99" builtinId="8" hidden="1"/>
    <cellStyle name="Hyperlink" xfId="795" builtinId="8" hidden="1"/>
    <cellStyle name="Hyperlink" xfId="704" builtinId="8" hidden="1"/>
    <cellStyle name="Hyperlink" xfId="75" builtinId="8" hidden="1"/>
    <cellStyle name="Hyperlink" xfId="4" builtinId="8" hidden="1"/>
    <cellStyle name="Hyperlink" xfId="287" builtinId="8" hidden="1"/>
    <cellStyle name="Hyperlink" xfId="40" builtinId="8" hidden="1"/>
    <cellStyle name="Hyperlink" xfId="119" builtinId="8" hidden="1"/>
    <cellStyle name="Hyperlink" xfId="673" builtinId="8" hidden="1"/>
    <cellStyle name="Hyperlink" xfId="570" builtinId="8" hidden="1"/>
    <cellStyle name="Hyperlink" xfId="22" builtinId="8" hidden="1"/>
    <cellStyle name="Hyperlink" xfId="507" builtinId="8" hidden="1"/>
    <cellStyle name="Hyperlink" xfId="278" builtinId="8" hidden="1"/>
    <cellStyle name="Hyperlink" xfId="228" builtinId="8" hidden="1"/>
    <cellStyle name="Hyperlink" xfId="143" builtinId="8" hidden="1"/>
    <cellStyle name="Hyperlink" xfId="694" builtinId="8" hidden="1"/>
    <cellStyle name="Hyperlink" xfId="493" builtinId="8" hidden="1"/>
    <cellStyle name="Hyperlink" xfId="453" builtinId="8" hidden="1"/>
    <cellStyle name="Hyperlink" xfId="485" builtinId="8" hidden="1"/>
    <cellStyle name="Hyperlink" xfId="438" builtinId="8" hidden="1"/>
    <cellStyle name="Hyperlink" xfId="538" builtinId="8" hidden="1"/>
    <cellStyle name="Hyperlink" xfId="511" builtinId="8" hidden="1"/>
    <cellStyle name="Hyperlink" xfId="617" builtinId="8" hidden="1"/>
    <cellStyle name="Hyperlink" xfId="479" builtinId="8" hidden="1"/>
    <cellStyle name="Hyperlink" xfId="408" builtinId="8" hidden="1"/>
    <cellStyle name="Hyperlink" xfId="384" builtinId="8" hidden="1"/>
    <cellStyle name="Hyperlink" xfId="131" builtinId="8" hidden="1"/>
    <cellStyle name="Hyperlink" xfId="659" builtinId="8" hidden="1"/>
    <cellStyle name="Hyperlink" xfId="473" builtinId="8" hidden="1"/>
    <cellStyle name="Hyperlink" xfId="534" builtinId="8" hidden="1"/>
    <cellStyle name="Hyperlink" xfId="655" builtinId="8" hidden="1"/>
    <cellStyle name="Hyperlink" xfId="588" builtinId="8" hidden="1"/>
    <cellStyle name="Hyperlink" xfId="388" builtinId="8" hidden="1"/>
    <cellStyle name="Hyperlink" xfId="301" builtinId="8" hidden="1"/>
    <cellStyle name="Hyperlink" xfId="260" builtinId="8" hidden="1"/>
    <cellStyle name="Hyperlink" xfId="860" builtinId="8" hidden="1"/>
    <cellStyle name="Hyperlink" xfId="821" builtinId="8" hidden="1"/>
    <cellStyle name="Hyperlink" xfId="846" builtinId="8" hidden="1"/>
    <cellStyle name="Hyperlink" xfId="880" builtinId="8" hidden="1"/>
    <cellStyle name="Hyperlink" xfId="951" builtinId="8" hidden="1"/>
    <cellStyle name="Hyperlink" xfId="740" builtinId="8" hidden="1"/>
    <cellStyle name="Hyperlink" xfId="959" builtinId="8" hidden="1"/>
    <cellStyle name="Hyperlink" xfId="933" builtinId="8" hidden="1"/>
    <cellStyle name="Hyperlink" xfId="157" builtinId="8" hidden="1"/>
    <cellStyle name="Hyperlink" xfId="882" builtinId="8" hidden="1"/>
    <cellStyle name="Hyperlink" xfId="436" builtinId="8" hidden="1"/>
    <cellStyle name="Hyperlink" xfId="270" builtinId="8" hidden="1"/>
    <cellStyle name="Hyperlink" xfId="305" builtinId="8" hidden="1"/>
    <cellStyle name="Hyperlink" xfId="343" builtinId="8" hidden="1"/>
    <cellStyle name="Hyperlink" xfId="8" builtinId="8" hidden="1"/>
    <cellStyle name="Hyperlink" xfId="55" builtinId="8" hidden="1"/>
    <cellStyle name="Hyperlink" xfId="107" builtinId="8" hidden="1"/>
    <cellStyle name="Hyperlink" xfId="87" builtinId="8" hidden="1"/>
    <cellStyle name="Hyperlink" xfId="73" builtinId="8" hidden="1"/>
    <cellStyle name="Hyperlink" xfId="580" builtinId="8" hidden="1"/>
    <cellStyle name="Hyperlink" xfId="548" builtinId="8" hidden="1"/>
    <cellStyle name="Hyperlink" xfId="524" builtinId="8" hidden="1"/>
    <cellStyle name="Hyperlink" xfId="475" builtinId="8" hidden="1"/>
    <cellStyle name="Hyperlink" xfId="428" builtinId="8" hidden="1"/>
    <cellStyle name="Hyperlink" xfId="364" builtinId="8" hidden="1"/>
    <cellStyle name="Hyperlink" xfId="155" builtinId="8" hidden="1"/>
    <cellStyle name="Hyperlink" xfId="161" builtinId="8" hidden="1"/>
    <cellStyle name="Hyperlink" xfId="173" builtinId="8" hidden="1"/>
    <cellStyle name="Hyperlink" xfId="181" builtinId="8" hidden="1"/>
    <cellStyle name="Hyperlink" xfId="199" builtinId="8" hidden="1"/>
    <cellStyle name="Hyperlink" xfId="218" builtinId="8" hidden="1"/>
    <cellStyle name="Hyperlink" xfId="222" builtinId="8" hidden="1"/>
    <cellStyle name="Hyperlink" xfId="240" builtinId="8" hidden="1"/>
    <cellStyle name="Hyperlink" xfId="250" builtinId="8" hidden="1"/>
    <cellStyle name="Hyperlink" xfId="258" builtinId="8" hidden="1"/>
    <cellStyle name="Hyperlink" xfId="272" builtinId="8" hidden="1"/>
    <cellStyle name="Hyperlink" xfId="244" builtinId="8" hidden="1"/>
    <cellStyle name="Hyperlink" xfId="311" builtinId="8" hidden="1"/>
    <cellStyle name="Hyperlink" xfId="313" builtinId="8" hidden="1"/>
    <cellStyle name="Hyperlink" xfId="321" builtinId="8" hidden="1"/>
    <cellStyle name="Hyperlink" xfId="335" builtinId="8" hidden="1"/>
    <cellStyle name="Hyperlink" xfId="339" builtinId="8" hidden="1"/>
    <cellStyle name="Hyperlink" xfId="323" builtinId="8" hidden="1"/>
    <cellStyle name="Hyperlink" xfId="329" builtinId="8" hidden="1"/>
    <cellStyle name="Hyperlink" xfId="183" builtinId="8" hidden="1"/>
    <cellStyle name="Hyperlink" xfId="337" builtinId="8" hidden="1"/>
    <cellStyle name="Hyperlink" xfId="266" builtinId="8" hidden="1"/>
    <cellStyle name="Hyperlink" xfId="189" builtinId="8" hidden="1"/>
    <cellStyle name="Hyperlink" xfId="226" builtinId="8" hidden="1"/>
    <cellStyle name="Hyperlink" xfId="276" builtinId="8" hidden="1"/>
    <cellStyle name="Hyperlink" xfId="309" builtinId="8" hidden="1"/>
    <cellStyle name="Hyperlink" xfId="412" builtinId="8" hidden="1"/>
    <cellStyle name="Hyperlink" xfId="611" builtinId="8" hidden="1"/>
    <cellStyle name="Hyperlink" xfId="185" builtinId="8" hidden="1"/>
    <cellStyle name="Hyperlink" xfId="256" builtinId="8" hidden="1"/>
    <cellStyle name="Hyperlink" xfId="285" builtinId="8" hidden="1"/>
    <cellStyle name="Hyperlink" xfId="210" builtinId="8" hidden="1"/>
    <cellStyle name="Hyperlink" xfId="451" builtinId="8" hidden="1"/>
    <cellStyle name="Hyperlink" xfId="43" builtinId="8" hidden="1"/>
    <cellStyle name="Hyperlink" xfId="839" builtinId="8" hidden="1"/>
    <cellStyle name="Hyperlink" xfId="864" builtinId="8" hidden="1"/>
    <cellStyle name="Hyperlink" xfId="359" builtinId="8" hidden="1"/>
    <cellStyle name="Hyperlink" xfId="789" builtinId="8" hidden="1"/>
    <cellStyle name="Hyperlink" xfId="544" builtinId="8" hidden="1"/>
    <cellStyle name="Hyperlink" xfId="434" builtinId="8" hidden="1"/>
    <cellStyle name="Hyperlink" xfId="422" builtinId="8" hidden="1"/>
    <cellStyle name="Hyperlink" xfId="866" builtinId="8" hidden="1"/>
    <cellStyle name="Hyperlink" xfId="931" builtinId="8" hidden="1"/>
    <cellStyle name="Hyperlink" xfId="892" builtinId="8" hidden="1"/>
    <cellStyle name="Hyperlink" xfId="844" builtinId="8" hidden="1"/>
    <cellStyle name="Hyperlink" xfId="811" builtinId="8" hidden="1"/>
    <cellStyle name="Hyperlink" xfId="779" builtinId="8" hidden="1"/>
    <cellStyle name="Hyperlink" xfId="961" builtinId="8" hidden="1"/>
    <cellStyle name="Hyperlink" xfId="929" builtinId="8" hidden="1"/>
    <cellStyle name="Hyperlink" xfId="396" builtinId="8" hidden="1"/>
    <cellStyle name="Hyperlink" xfId="941" builtinId="8" hidden="1"/>
    <cellStyle name="Hyperlink" xfId="949" builtinId="8" hidden="1"/>
    <cellStyle name="Hyperlink" xfId="908" builtinId="8" hidden="1"/>
    <cellStyle name="Hyperlink" xfId="918" builtinId="8" hidden="1"/>
    <cellStyle name="Hyperlink" xfId="890" builtinId="8" hidden="1"/>
    <cellStyle name="Hyperlink" xfId="708" builtinId="8" hidden="1"/>
    <cellStyle name="Hyperlink" xfId="831" builtinId="8" hidden="1"/>
    <cellStyle name="Hyperlink" xfId="347" builtinId="8" hidden="1"/>
    <cellStyle name="Hyperlink" xfId="289" builtinId="8" hidden="1"/>
    <cellStyle name="Hyperlink" xfId="303" builtinId="8" hidden="1"/>
    <cellStyle name="Hyperlink" xfId="900" builtinId="8" hidden="1"/>
    <cellStyle name="Hyperlink" xfId="837" builtinId="8" hidden="1"/>
    <cellStyle name="Hyperlink" xfId="813" builtinId="8" hidden="1"/>
    <cellStyle name="Hyperlink" xfId="957" builtinId="8" hidden="1"/>
    <cellStyle name="Hyperlink" xfId="698" builtinId="8" hidden="1"/>
    <cellStyle name="Hyperlink" xfId="590" builtinId="8" hidden="1"/>
    <cellStyle name="Hyperlink" xfId="797" builtinId="8" hidden="1"/>
    <cellStyle name="Hyperlink" xfId="773" builtinId="8" hidden="1"/>
    <cellStyle name="Hyperlink" xfId="758" builtinId="8" hidden="1"/>
    <cellStyle name="Hyperlink" xfId="688" builtinId="8" hidden="1"/>
    <cellStyle name="Hyperlink" xfId="663" builtinId="8" hidden="1"/>
    <cellStyle name="Hyperlink" xfId="633" builtinId="8" hidden="1"/>
    <cellStyle name="Hyperlink" xfId="576" builtinId="8" hidden="1"/>
    <cellStyle name="Hyperlink" xfId="552" builtinId="8" hidden="1"/>
    <cellStyle name="Hyperlink" xfId="894" builtinId="8" hidden="1"/>
    <cellStyle name="Hyperlink" xfId="627" builtinId="8" hidden="1"/>
    <cellStyle name="Hyperlink" xfId="151" builtinId="8" hidden="1"/>
    <cellStyle name="Hyperlink" xfId="487" builtinId="8" hidden="1"/>
    <cellStyle name="Hyperlink" xfId="856" builtinId="8" hidden="1"/>
    <cellStyle name="Hyperlink" xfId="955" builtinId="8" hidden="1"/>
    <cellStyle name="Hyperlink" xfId="331" builtinId="8" hidden="1"/>
    <cellStyle name="Hyperlink" xfId="317" builtinId="8" hidden="1"/>
    <cellStyle name="Hyperlink" xfId="274" builtinId="8" hidden="1"/>
    <cellStyle name="Hyperlink" xfId="236" builtinId="8" hidden="1"/>
    <cellStyle name="Hyperlink" xfId="204" builtinId="8" hidden="1"/>
    <cellStyle name="Hyperlink" xfId="175" builtinId="8" hidden="1"/>
    <cellStyle name="Hyperlink" xfId="491" builtinId="8" hidden="1"/>
    <cellStyle name="Hyperlink" xfId="404" builtinId="8" hidden="1"/>
    <cellStyle name="Hyperlink" xfId="953" builtinId="8" hidden="1"/>
    <cellStyle name="Hyperlink" xfId="732" builtinId="8" hidden="1"/>
    <cellStyle name="Hyperlink" xfId="700" builtinId="8" hidden="1"/>
    <cellStyle name="Hyperlink" xfId="643" builtinId="8" hidden="1"/>
    <cellStyle name="Hyperlink" xfId="870" builtinId="8" hidden="1"/>
    <cellStyle name="Hyperlink" xfId="878" builtinId="8" hidden="1"/>
    <cellStyle name="Hyperlink" xfId="898" builtinId="8" hidden="1"/>
    <cellStyle name="Hyperlink" xfId="910" builtinId="8" hidden="1"/>
    <cellStyle name="Hyperlink" xfId="912" builtinId="8" hidden="1"/>
    <cellStyle name="Hyperlink" xfId="748" builtinId="8" hidden="1"/>
    <cellStyle name="Hyperlink" xfId="854" builtinId="8" hidden="1"/>
    <cellStyle name="Hyperlink" xfId="920" builtinId="8" hidden="1"/>
    <cellStyle name="Hyperlink" xfId="874" builtinId="8" hidden="1"/>
    <cellStyle name="Hyperlink" xfId="716" builtinId="8" hidden="1"/>
    <cellStyle name="Hyperlink" xfId="724" builtinId="8" hidden="1"/>
    <cellStyle name="Hyperlink" xfId="939" builtinId="8" hidden="1"/>
    <cellStyle name="Hyperlink" xfId="483" builtinId="8" hidden="1"/>
    <cellStyle name="Hyperlink" xfId="208" builtinId="8" hidden="1"/>
    <cellStyle name="Hyperlink" xfId="858" builtinId="8" hidden="1"/>
    <cellStyle name="Hyperlink" xfId="825" builtinId="8" hidden="1"/>
    <cellStyle name="Hyperlink" xfId="833" builtinId="8" hidden="1"/>
    <cellStyle name="Hyperlink" xfId="815" builtinId="8" hidden="1"/>
    <cellStyle name="Hyperlink" xfId="896" builtinId="8" hidden="1"/>
    <cellStyle name="Hyperlink" xfId="841" builtinId="8" hidden="1"/>
    <cellStyle name="Hyperlink" xfId="536" builtinId="8" hidden="1"/>
    <cellStyle name="Hyperlink" xfId="363" builtinId="8" hidden="1"/>
    <cellStyle name="Normal" xfId="0" builtinId="0"/>
    <cellStyle name="Normal 2" xfId="1" xr:uid="{00000000-0005-0000-0000-0000C1030000}"/>
    <cellStyle name="Normal 3" xfId="123" xr:uid="{00000000-0005-0000-0000-0000C2030000}"/>
    <cellStyle name="Percent" xfId="964" builtinId="5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2" formatCode="0.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FFFF9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5" formatCode="0.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auto="1"/>
        </right>
        <top style="medium">
          <color indexed="64"/>
        </top>
        <bottom style="medium">
          <color auto="1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6" formatCode="0.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</font>
      <border diagonalUp="0" diagonalDown="0">
        <left style="medium">
          <color indexed="64"/>
        </left>
        <right style="medium">
          <color indexed="64"/>
        </right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thin">
          <color auto="1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7</xdr:row>
          <xdr:rowOff>99060</xdr:rowOff>
        </xdr:from>
        <xdr:to>
          <xdr:col>6</xdr:col>
          <xdr:colOff>2240280</xdr:colOff>
          <xdr:row>9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after selecting the Mix Type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DCBD6B-B36A-41F1-B99A-2B8B325D4720}" name="Admixture_Units" displayName="Admixture_Units" ref="B2:B8" totalsRowShown="0" headerRowDxfId="52" dataDxfId="50" headerRowBorderDxfId="51" tableBorderDxfId="49" totalsRowBorderDxfId="48">
  <autoFilter ref="B2:B8" xr:uid="{029622B3-FCCA-4C4A-8FEA-37E9984313AD}"/>
  <tableColumns count="1">
    <tableColumn id="1" xr3:uid="{A22FF90C-F47E-4011-B748-7329D3A19B9E}" name="Admixture units" dataDxfId="4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45AFD-ABC4-4406-9702-86771FEDC4E0}" name="Amounts_Units" displayName="Amounts_Units" ref="D2:D4" totalsRowShown="0" headerRowDxfId="46" dataDxfId="44" headerRowBorderDxfId="45" tableBorderDxfId="43" totalsRowBorderDxfId="42">
  <autoFilter ref="D2:D4" xr:uid="{D1B45AFD-ABC4-4406-9702-86771FEDC4E0}"/>
  <tableColumns count="1">
    <tableColumn id="1" xr3:uid="{8501D6F0-2499-4A8C-8D70-7E8A724E1CD3}" name="Amounts units" dataDxfId="4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4DD769-073E-453B-9395-37498995370B}" name="Amounts_Units4" displayName="Amounts_Units4" ref="F2:F4" totalsRowShown="0" headerRowDxfId="40" dataDxfId="38" headerRowBorderDxfId="39" tableBorderDxfId="37" totalsRowBorderDxfId="36">
  <autoFilter ref="F2:F4" xr:uid="{074DD769-073E-453B-9395-37498995370B}"/>
  <tableColumns count="1">
    <tableColumn id="1" xr3:uid="{6259A63D-5B53-40C5-9030-208BE1805E76}" name="Mix type" dataDxfId="3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6EB16B9-A2D8-44E8-8E59-2C598D85DEAA}" name="Materials_List" displayName="Materials_List" ref="B2:G143" totalsRowShown="0" headerRowDxfId="34" dataDxfId="32" headerRowBorderDxfId="33" tableBorderDxfId="31" totalsRowBorderDxfId="30">
  <autoFilter ref="B2:G143" xr:uid="{195A94A2-2555-4B7A-B858-E2335ADBDCCF}"/>
  <tableColumns count="6">
    <tableColumn id="1" xr3:uid="{3074613E-6A17-4DDE-9227-03C990729783}" name="Classes" dataDxfId="29"/>
    <tableColumn id="2" xr3:uid="{F69B0C86-6162-410A-91AE-066F29C89314}" name="Types" dataDxfId="28"/>
    <tableColumn id="3" xr3:uid="{D11477E0-3995-4827-83F1-5AFB634AE601}" name="Names" dataDxfId="27"/>
    <tableColumn id="4" xr3:uid="{C670E926-12CD-4A12-81B2-6CE6FF9CA6CC}" name="Specific Gravities" dataDxfId="26"/>
    <tableColumn id="5" xr3:uid="{1808CA6E-EA46-4CC7-9472-411BD80262FB}" name="Manufacturer" dataDxfId="25"/>
    <tableColumn id="6" xr3:uid="{64C74BB9-A90F-47A8-8D08-BB874EFE0674}" name="Description" dataDxfId="2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8BBD1C-9519-41B6-8E3D-6ABD9CC131D0}" name="Mix" displayName="Mix" ref="B15:E38" totalsRowShown="0" tableBorderDxfId="23">
  <autoFilter ref="B15:E38" xr:uid="{B28BBD1C-9519-41B6-8E3D-6ABD9CC131D0}"/>
  <tableColumns count="4">
    <tableColumn id="1" xr3:uid="{77299792-01F1-4CE0-8971-E6E8A3E4035E}" name="Classes" dataDxfId="22"/>
    <tableColumn id="2" xr3:uid="{D8FA50F3-2452-4EB5-8AA9-A845E43BFF9D}" name=" Types" dataDxfId="21" dataCellStyle="Good"/>
    <tableColumn id="3" xr3:uid="{869324CC-CDC9-46A6-B535-5DF03E9BE67D}" name="Names" dataDxfId="20" dataCellStyle="Good"/>
    <tableColumn id="4" xr3:uid="{31BC2A2D-221A-43BF-AA07-6854415AA65E}" name="Specific Gravities" dataDxfId="19" dataCellStyle="Good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8AF47A-A782-4E8B-9F23-BEA1D3B002B5}" name="Batch" displayName="Batch" ref="B55:I78" totalsRowShown="0" headerRowDxfId="18" dataDxfId="16" headerRowBorderDxfId="17" tableBorderDxfId="15" headerRowCellStyle="Check Cell">
  <autoFilter ref="B55:I78" xr:uid="{698AF47A-A782-4E8B-9F23-BEA1D3B002B5}"/>
  <tableColumns count="8">
    <tableColumn id="1" xr3:uid="{E1A8E6C3-8B57-490F-9BA5-90DA20048CBE}" name="Classes"/>
    <tableColumn id="2" xr3:uid="{803CE210-95CB-4EC7-9516-86B480348506}" name=" Types" dataDxfId="14">
      <calculatedColumnFormula>IF(C16=0,"",C16)</calculatedColumnFormula>
    </tableColumn>
    <tableColumn id="3" xr3:uid="{A7F6677E-BA8C-45B9-94AA-3424EC619F4E}" name="Names" dataDxfId="13">
      <calculatedColumnFormula>IF(D16=0,"",D16)</calculatedColumnFormula>
    </tableColumn>
    <tableColumn id="4" xr3:uid="{618FA7D3-B595-4A13-867C-AAAECF6CB830}" name="Specific Gravities" dataDxfId="12">
      <calculatedColumnFormula>IF(E16=0,"",E16)</calculatedColumnFormula>
    </tableColumn>
    <tableColumn id="5" xr3:uid="{1477A341-DCF3-4058-B2BE-205F9B17D8B4}" name="Amounts" dataDxfId="11">
      <calculatedColumnFormula>IF(F16=0,"",F16)</calculatedColumnFormula>
    </tableColumn>
    <tableColumn id="6" xr3:uid="{5EE9A6B3-E136-4D61-B1B0-7F18C662C0E3}" name="Units" dataDxfId="10">
      <calculatedColumnFormula>IF(G16=0,"",G16)</calculatedColumnFormula>
    </tableColumn>
    <tableColumn id="7" xr3:uid="{7B854417-51D6-4184-B10C-34AA47579E1E}" name="Moisture Corrected Batch Amounts" dataDxfId="9"/>
    <tableColumn id="8" xr3:uid="{DBB34D70-F6B0-437C-85C8-0C919616974B}" name="Units per CY" dataDxfId="8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5BC1B7E-C030-43A9-A0BB-0C122DFEA46C}" name="Volumes" displayName="Volumes" ref="B40:F51" totalsRowShown="0" headerRowDxfId="7" headerRowBorderDxfId="6" tableBorderDxfId="5" headerRowCellStyle="Check Cell">
  <autoFilter ref="B40:F51" xr:uid="{35BC1B7E-C030-43A9-A0BB-0C122DFEA46C}"/>
  <tableColumns count="5">
    <tableColumn id="1" xr3:uid="{5E739CAF-C9E1-4912-8ACF-5E19F192E885}" name="Specimen " dataDxfId="4"/>
    <tableColumn id="2" xr3:uid="{C814A70C-6A60-419E-824A-F5823326367D}" name="Dimensions in inches" dataDxfId="3"/>
    <tableColumn id="3" xr3:uid="{3FA7586B-DE97-4A79-B9E3-932F3078E891}" name="Unit Volumes (CF)" dataDxfId="2"/>
    <tableColumn id="4" xr3:uid="{9F4D2E7A-D2D4-4E47-BD39-1A9D8F40EA25}" name="Number of Samples" dataDxfId="1"/>
    <tableColumn id="5" xr3:uid="{15DDA46E-71A0-47F9-A199-CA57CD48668D}" name="Total Volumes (CF)" dataDxfId="0">
      <calculatedColumnFormula>IF(E41*D41=0,"",E41*D41)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1B990-0750-40E1-BC71-E303A716D20D}">
  <sheetPr codeName="Sheet1"/>
  <dimension ref="A1:F8"/>
  <sheetViews>
    <sheetView zoomScale="83" zoomScaleNormal="70" workbookViewId="0">
      <selection activeCell="F5" sqref="F5"/>
    </sheetView>
  </sheetViews>
  <sheetFormatPr defaultRowHeight="14.4" x14ac:dyDescent="0.3"/>
  <cols>
    <col min="1" max="1" width="15.6640625" bestFit="1" customWidth="1"/>
    <col min="2" max="2" width="17.109375" customWidth="1"/>
    <col min="3" max="3" width="19.44140625" bestFit="1" customWidth="1"/>
    <col min="4" max="4" width="18.33203125" bestFit="1" customWidth="1"/>
    <col min="5" max="6" width="17.33203125" bestFit="1" customWidth="1"/>
    <col min="7" max="7" width="30.5546875" bestFit="1" customWidth="1"/>
    <col min="8" max="8" width="27.109375" bestFit="1" customWidth="1"/>
    <col min="9" max="9" width="25.5546875" bestFit="1" customWidth="1"/>
    <col min="10" max="10" width="23.44140625" bestFit="1" customWidth="1"/>
    <col min="11" max="11" width="15.33203125" bestFit="1" customWidth="1"/>
    <col min="12" max="12" width="20.33203125" bestFit="1" customWidth="1"/>
    <col min="13" max="13" width="24.109375" bestFit="1" customWidth="1"/>
    <col min="14" max="14" width="30.5546875" bestFit="1" customWidth="1"/>
    <col min="15" max="15" width="27.5546875" bestFit="1" customWidth="1"/>
    <col min="16" max="21" width="9" customWidth="1"/>
  </cols>
  <sheetData>
    <row r="1" spans="1:6" x14ac:dyDescent="0.3">
      <c r="A1" s="65" t="s">
        <v>406</v>
      </c>
      <c r="C1" s="65" t="s">
        <v>432</v>
      </c>
      <c r="E1" t="s">
        <v>446</v>
      </c>
    </row>
    <row r="2" spans="1:6" x14ac:dyDescent="0.3">
      <c r="B2" s="55" t="s">
        <v>88</v>
      </c>
      <c r="D2" s="55" t="s">
        <v>433</v>
      </c>
      <c r="F2" s="55" t="s">
        <v>447</v>
      </c>
    </row>
    <row r="3" spans="1:6" x14ac:dyDescent="0.3">
      <c r="B3" s="54" t="s">
        <v>12</v>
      </c>
      <c r="D3" s="54" t="s">
        <v>11</v>
      </c>
      <c r="F3" s="54" t="s">
        <v>448</v>
      </c>
    </row>
    <row r="4" spans="1:6" x14ac:dyDescent="0.3">
      <c r="B4" s="54" t="s">
        <v>18</v>
      </c>
      <c r="D4" s="54" t="s">
        <v>434</v>
      </c>
      <c r="F4" s="54" t="s">
        <v>449</v>
      </c>
    </row>
    <row r="5" spans="1:6" x14ac:dyDescent="0.3">
      <c r="B5" s="54" t="s">
        <v>19</v>
      </c>
    </row>
    <row r="6" spans="1:6" x14ac:dyDescent="0.3">
      <c r="B6" s="56" t="s">
        <v>443</v>
      </c>
    </row>
    <row r="7" spans="1:6" x14ac:dyDescent="0.3">
      <c r="B7" s="56" t="s">
        <v>65</v>
      </c>
    </row>
    <row r="8" spans="1:6" x14ac:dyDescent="0.3">
      <c r="B8" s="56" t="s">
        <v>15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E2223-CFA8-4428-88CA-71734643C4E1}">
  <sheetPr codeName="Sheet2"/>
  <dimension ref="A1:G143"/>
  <sheetViews>
    <sheetView zoomScale="70" zoomScaleNormal="70" workbookViewId="0">
      <selection activeCell="C150" sqref="C150"/>
    </sheetView>
  </sheetViews>
  <sheetFormatPr defaultRowHeight="14.4" x14ac:dyDescent="0.3"/>
  <cols>
    <col min="1" max="1" width="13.5546875" bestFit="1" customWidth="1"/>
    <col min="2" max="2" width="10" style="1" bestFit="1" customWidth="1"/>
    <col min="3" max="3" width="30.5546875" style="1" bestFit="1" customWidth="1"/>
    <col min="4" max="4" width="13.6640625" style="1" bestFit="1" customWidth="1"/>
    <col min="5" max="5" width="17.44140625" style="1" customWidth="1"/>
    <col min="6" max="6" width="24.33203125" style="1" bestFit="1" customWidth="1"/>
    <col min="7" max="7" width="39.109375" style="1" customWidth="1"/>
    <col min="9" max="9" width="25.6640625" bestFit="1" customWidth="1"/>
    <col min="10" max="10" width="19.44140625" bestFit="1" customWidth="1"/>
    <col min="11" max="11" width="18.33203125" bestFit="1" customWidth="1"/>
    <col min="12" max="13" width="17.33203125" bestFit="1" customWidth="1"/>
    <col min="14" max="14" width="30.5546875" bestFit="1" customWidth="1"/>
    <col min="15" max="15" width="27.109375" bestFit="1" customWidth="1"/>
    <col min="16" max="16" width="25.5546875" bestFit="1" customWidth="1"/>
    <col min="17" max="17" width="23.44140625" bestFit="1" customWidth="1"/>
    <col min="18" max="18" width="15.33203125" bestFit="1" customWidth="1"/>
    <col min="19" max="19" width="20.33203125" bestFit="1" customWidth="1"/>
    <col min="20" max="20" width="24.109375" bestFit="1" customWidth="1"/>
    <col min="21" max="21" width="30.5546875" bestFit="1" customWidth="1"/>
    <col min="22" max="22" width="27.5546875" bestFit="1" customWidth="1"/>
    <col min="23" max="28" width="9" customWidth="1"/>
  </cols>
  <sheetData>
    <row r="1" spans="1:7" x14ac:dyDescent="0.3">
      <c r="A1" s="65" t="s">
        <v>407</v>
      </c>
    </row>
    <row r="2" spans="1:7" x14ac:dyDescent="0.3">
      <c r="B2" s="58" t="s">
        <v>58</v>
      </c>
      <c r="C2" s="59" t="s">
        <v>402</v>
      </c>
      <c r="D2" s="59" t="s">
        <v>56</v>
      </c>
      <c r="E2" s="60" t="s">
        <v>59</v>
      </c>
      <c r="F2" s="59" t="s">
        <v>89</v>
      </c>
      <c r="G2" s="61" t="s">
        <v>3</v>
      </c>
    </row>
    <row r="3" spans="1:7" x14ac:dyDescent="0.3">
      <c r="B3" s="57" t="s">
        <v>60</v>
      </c>
      <c r="C3" s="3" t="s">
        <v>225</v>
      </c>
      <c r="D3" s="3" t="s">
        <v>224</v>
      </c>
      <c r="E3" s="3">
        <v>1</v>
      </c>
      <c r="F3" s="3" t="s">
        <v>226</v>
      </c>
      <c r="G3" s="5" t="s">
        <v>227</v>
      </c>
    </row>
    <row r="4" spans="1:7" x14ac:dyDescent="0.3">
      <c r="B4" s="57" t="s">
        <v>60</v>
      </c>
      <c r="C4" s="3" t="s">
        <v>225</v>
      </c>
      <c r="D4" s="3" t="s">
        <v>228</v>
      </c>
      <c r="E4" s="3">
        <v>1</v>
      </c>
      <c r="F4" s="3" t="s">
        <v>226</v>
      </c>
      <c r="G4" s="5" t="s">
        <v>227</v>
      </c>
    </row>
    <row r="5" spans="1:7" x14ac:dyDescent="0.3">
      <c r="B5" s="57" t="s">
        <v>60</v>
      </c>
      <c r="C5" s="3" t="s">
        <v>225</v>
      </c>
      <c r="D5" s="3" t="s">
        <v>229</v>
      </c>
      <c r="E5" s="3">
        <v>1</v>
      </c>
      <c r="F5" s="3" t="s">
        <v>226</v>
      </c>
      <c r="G5" s="5" t="s">
        <v>230</v>
      </c>
    </row>
    <row r="6" spans="1:7" x14ac:dyDescent="0.3">
      <c r="B6" s="57" t="s">
        <v>60</v>
      </c>
      <c r="C6" s="3" t="s">
        <v>61</v>
      </c>
      <c r="D6" s="3" t="s">
        <v>270</v>
      </c>
      <c r="E6" s="3">
        <v>1.98E-3</v>
      </c>
      <c r="F6" s="3" t="s">
        <v>271</v>
      </c>
      <c r="G6" s="5" t="s">
        <v>271</v>
      </c>
    </row>
    <row r="7" spans="1:7" x14ac:dyDescent="0.3">
      <c r="B7" s="57" t="s">
        <v>60</v>
      </c>
      <c r="C7" s="3" t="s">
        <v>297</v>
      </c>
      <c r="D7" s="3" t="s">
        <v>296</v>
      </c>
      <c r="E7" s="3">
        <v>1</v>
      </c>
      <c r="F7" s="3" t="s">
        <v>226</v>
      </c>
      <c r="G7" s="5" t="s">
        <v>298</v>
      </c>
    </row>
    <row r="8" spans="1:7" x14ac:dyDescent="0.3">
      <c r="B8" s="57" t="s">
        <v>60</v>
      </c>
      <c r="C8" s="3" t="s">
        <v>300</v>
      </c>
      <c r="D8" s="3" t="s">
        <v>299</v>
      </c>
      <c r="E8" s="3">
        <v>1</v>
      </c>
      <c r="F8" s="3" t="s">
        <v>301</v>
      </c>
      <c r="G8" s="5" t="s">
        <v>302</v>
      </c>
    </row>
    <row r="9" spans="1:7" x14ac:dyDescent="0.3">
      <c r="B9" s="57" t="s">
        <v>60</v>
      </c>
      <c r="C9" s="3" t="s">
        <v>304</v>
      </c>
      <c r="D9" s="3" t="s">
        <v>303</v>
      </c>
      <c r="E9" s="3">
        <v>1</v>
      </c>
      <c r="F9" s="3" t="s">
        <v>226</v>
      </c>
      <c r="G9" s="5" t="s">
        <v>305</v>
      </c>
    </row>
    <row r="10" spans="1:7" x14ac:dyDescent="0.3">
      <c r="B10" s="57" t="s">
        <v>60</v>
      </c>
      <c r="C10" s="3" t="s">
        <v>346</v>
      </c>
      <c r="D10" s="3" t="s">
        <v>345</v>
      </c>
      <c r="E10" s="3">
        <v>1</v>
      </c>
      <c r="F10" s="3" t="s">
        <v>226</v>
      </c>
      <c r="G10" s="5" t="s">
        <v>347</v>
      </c>
    </row>
    <row r="11" spans="1:7" x14ac:dyDescent="0.3">
      <c r="B11" s="57" t="s">
        <v>60</v>
      </c>
      <c r="C11" s="3" t="s">
        <v>346</v>
      </c>
      <c r="D11" s="3" t="s">
        <v>348</v>
      </c>
      <c r="E11" s="3">
        <v>1</v>
      </c>
      <c r="F11" s="3" t="s">
        <v>226</v>
      </c>
      <c r="G11" s="5" t="s">
        <v>349</v>
      </c>
    </row>
    <row r="12" spans="1:7" x14ac:dyDescent="0.3">
      <c r="B12" s="57" t="s">
        <v>60</v>
      </c>
      <c r="C12" s="3" t="s">
        <v>351</v>
      </c>
      <c r="D12" s="3" t="s">
        <v>350</v>
      </c>
      <c r="E12" s="3">
        <v>1</v>
      </c>
      <c r="F12" s="3" t="s">
        <v>226</v>
      </c>
      <c r="G12" s="5" t="s">
        <v>352</v>
      </c>
    </row>
    <row r="13" spans="1:7" x14ac:dyDescent="0.3">
      <c r="B13" s="57" t="s">
        <v>60</v>
      </c>
      <c r="C13" s="3" t="s">
        <v>359</v>
      </c>
      <c r="D13" s="3" t="s">
        <v>358</v>
      </c>
      <c r="E13" s="3">
        <v>1</v>
      </c>
      <c r="F13" s="3" t="s">
        <v>226</v>
      </c>
      <c r="G13" s="5" t="s">
        <v>360</v>
      </c>
    </row>
    <row r="14" spans="1:7" x14ac:dyDescent="0.3">
      <c r="B14" s="57" t="s">
        <v>60</v>
      </c>
      <c r="C14" s="3" t="s">
        <v>362</v>
      </c>
      <c r="D14" s="3" t="s">
        <v>361</v>
      </c>
      <c r="E14" s="3">
        <v>1</v>
      </c>
      <c r="F14" s="3" t="s">
        <v>226</v>
      </c>
      <c r="G14" s="5" t="s">
        <v>363</v>
      </c>
    </row>
    <row r="15" spans="1:7" x14ac:dyDescent="0.3">
      <c r="B15" s="57" t="s">
        <v>60</v>
      </c>
      <c r="C15" s="3" t="s">
        <v>362</v>
      </c>
      <c r="D15" s="3" t="s">
        <v>364</v>
      </c>
      <c r="E15" s="3">
        <v>1</v>
      </c>
      <c r="F15" s="3" t="s">
        <v>226</v>
      </c>
      <c r="G15" s="5" t="s">
        <v>365</v>
      </c>
    </row>
    <row r="16" spans="1:7" x14ac:dyDescent="0.3">
      <c r="B16" s="57" t="s">
        <v>60</v>
      </c>
      <c r="C16" s="3" t="s">
        <v>362</v>
      </c>
      <c r="D16" s="3" t="s">
        <v>366</v>
      </c>
      <c r="E16" s="3">
        <v>1</v>
      </c>
      <c r="F16" s="3" t="s">
        <v>104</v>
      </c>
      <c r="G16" s="5" t="s">
        <v>367</v>
      </c>
    </row>
    <row r="17" spans="2:7" x14ac:dyDescent="0.3">
      <c r="B17" s="57" t="s">
        <v>60</v>
      </c>
      <c r="C17" s="3" t="s">
        <v>371</v>
      </c>
      <c r="D17" s="3" t="s">
        <v>370</v>
      </c>
      <c r="E17" s="3">
        <v>1</v>
      </c>
      <c r="F17" s="3"/>
      <c r="G17" s="5" t="s">
        <v>372</v>
      </c>
    </row>
    <row r="18" spans="2:7" x14ac:dyDescent="0.3">
      <c r="B18" s="57" t="s">
        <v>60</v>
      </c>
      <c r="C18" s="3" t="s">
        <v>371</v>
      </c>
      <c r="D18" s="3" t="s">
        <v>373</v>
      </c>
      <c r="E18" s="3">
        <v>1</v>
      </c>
      <c r="F18" s="3"/>
      <c r="G18" s="5" t="s">
        <v>374</v>
      </c>
    </row>
    <row r="19" spans="2:7" x14ac:dyDescent="0.3">
      <c r="B19" s="57" t="s">
        <v>60</v>
      </c>
      <c r="C19" s="3" t="s">
        <v>371</v>
      </c>
      <c r="D19" s="3" t="s">
        <v>375</v>
      </c>
      <c r="E19" s="3">
        <v>1</v>
      </c>
      <c r="F19" s="3"/>
      <c r="G19" s="5" t="s">
        <v>376</v>
      </c>
    </row>
    <row r="20" spans="2:7" x14ac:dyDescent="0.3">
      <c r="B20" s="57" t="s">
        <v>60</v>
      </c>
      <c r="C20" s="3" t="s">
        <v>304</v>
      </c>
      <c r="D20" s="3" t="s">
        <v>386</v>
      </c>
      <c r="E20" s="3">
        <v>1</v>
      </c>
      <c r="F20" s="3" t="s">
        <v>226</v>
      </c>
      <c r="G20" s="5" t="s">
        <v>387</v>
      </c>
    </row>
    <row r="21" spans="2:7" x14ac:dyDescent="0.3">
      <c r="B21" s="57" t="s">
        <v>60</v>
      </c>
      <c r="C21" s="3" t="s">
        <v>389</v>
      </c>
      <c r="D21" s="3" t="s">
        <v>388</v>
      </c>
      <c r="E21" s="3">
        <v>1</v>
      </c>
      <c r="F21" s="3" t="s">
        <v>226</v>
      </c>
      <c r="G21" s="5" t="s">
        <v>390</v>
      </c>
    </row>
    <row r="22" spans="2:7" x14ac:dyDescent="0.3">
      <c r="B22" s="57" t="s">
        <v>60</v>
      </c>
      <c r="C22" s="3" t="s">
        <v>392</v>
      </c>
      <c r="D22" s="3" t="s">
        <v>391</v>
      </c>
      <c r="E22" s="3">
        <v>1</v>
      </c>
      <c r="F22" s="3" t="s">
        <v>226</v>
      </c>
      <c r="G22" s="5" t="s">
        <v>393</v>
      </c>
    </row>
    <row r="23" spans="2:7" x14ac:dyDescent="0.3">
      <c r="B23" s="57" t="s">
        <v>60</v>
      </c>
      <c r="C23" s="3" t="s">
        <v>395</v>
      </c>
      <c r="D23" s="3" t="s">
        <v>394</v>
      </c>
      <c r="E23" s="3">
        <v>1</v>
      </c>
      <c r="F23" s="3" t="s">
        <v>226</v>
      </c>
      <c r="G23" s="5" t="s">
        <v>396</v>
      </c>
    </row>
    <row r="24" spans="2:7" x14ac:dyDescent="0.3">
      <c r="B24" s="57" t="s">
        <v>60</v>
      </c>
      <c r="C24" s="3" t="s">
        <v>398</v>
      </c>
      <c r="D24" s="3" t="s">
        <v>397</v>
      </c>
      <c r="E24" s="3">
        <v>1</v>
      </c>
      <c r="F24" s="3" t="s">
        <v>399</v>
      </c>
      <c r="G24" s="5" t="s">
        <v>400</v>
      </c>
    </row>
    <row r="25" spans="2:7" x14ac:dyDescent="0.3">
      <c r="B25" s="57" t="s">
        <v>49</v>
      </c>
      <c r="C25" s="3" t="s">
        <v>23</v>
      </c>
      <c r="D25" s="3" t="s">
        <v>90</v>
      </c>
      <c r="E25" s="3">
        <v>2.7</v>
      </c>
      <c r="F25" s="3" t="s">
        <v>91</v>
      </c>
      <c r="G25" s="5" t="s">
        <v>92</v>
      </c>
    </row>
    <row r="26" spans="2:7" x14ac:dyDescent="0.3">
      <c r="B26" s="57" t="s">
        <v>49</v>
      </c>
      <c r="C26" s="3" t="s">
        <v>23</v>
      </c>
      <c r="D26" s="3" t="s">
        <v>93</v>
      </c>
      <c r="E26" s="3">
        <v>2.69</v>
      </c>
      <c r="F26" s="3" t="s">
        <v>94</v>
      </c>
      <c r="G26" s="5" t="s">
        <v>95</v>
      </c>
    </row>
    <row r="27" spans="2:7" x14ac:dyDescent="0.3">
      <c r="B27" s="57" t="s">
        <v>49</v>
      </c>
      <c r="C27" s="3" t="s">
        <v>23</v>
      </c>
      <c r="D27" s="3" t="s">
        <v>96</v>
      </c>
      <c r="E27" s="3">
        <v>2.72</v>
      </c>
      <c r="F27" s="3" t="s">
        <v>94</v>
      </c>
      <c r="G27" s="5" t="s">
        <v>97</v>
      </c>
    </row>
    <row r="28" spans="2:7" x14ac:dyDescent="0.3">
      <c r="B28" s="57" t="s">
        <v>49</v>
      </c>
      <c r="C28" s="3" t="s">
        <v>23</v>
      </c>
      <c r="D28" s="3" t="s">
        <v>98</v>
      </c>
      <c r="E28" s="3">
        <v>2.71</v>
      </c>
      <c r="F28" s="3" t="s">
        <v>99</v>
      </c>
      <c r="G28" s="5" t="s">
        <v>100</v>
      </c>
    </row>
    <row r="29" spans="2:7" x14ac:dyDescent="0.3">
      <c r="B29" s="57" t="s">
        <v>49</v>
      </c>
      <c r="C29" s="3" t="s">
        <v>23</v>
      </c>
      <c r="D29" s="3" t="s">
        <v>101</v>
      </c>
      <c r="E29" s="3">
        <v>2.72</v>
      </c>
      <c r="F29" s="3" t="s">
        <v>94</v>
      </c>
      <c r="G29" s="5" t="s">
        <v>102</v>
      </c>
    </row>
    <row r="30" spans="2:7" x14ac:dyDescent="0.3">
      <c r="B30" s="57" t="s">
        <v>49</v>
      </c>
      <c r="C30" s="3" t="s">
        <v>23</v>
      </c>
      <c r="D30" s="3" t="s">
        <v>103</v>
      </c>
      <c r="E30" s="3">
        <v>2.7</v>
      </c>
      <c r="F30" s="3" t="s">
        <v>104</v>
      </c>
      <c r="G30" s="5" t="s">
        <v>105</v>
      </c>
    </row>
    <row r="31" spans="2:7" x14ac:dyDescent="0.3">
      <c r="B31" s="57" t="s">
        <v>49</v>
      </c>
      <c r="C31" s="3" t="s">
        <v>23</v>
      </c>
      <c r="D31" s="3" t="s">
        <v>106</v>
      </c>
      <c r="E31" s="3">
        <v>2.7</v>
      </c>
      <c r="F31" s="3" t="s">
        <v>107</v>
      </c>
      <c r="G31" s="5" t="s">
        <v>108</v>
      </c>
    </row>
    <row r="32" spans="2:7" x14ac:dyDescent="0.3">
      <c r="B32" s="57" t="s">
        <v>49</v>
      </c>
      <c r="C32" s="3" t="s">
        <v>23</v>
      </c>
      <c r="D32" s="3" t="s">
        <v>109</v>
      </c>
      <c r="E32" s="3">
        <v>2.69</v>
      </c>
      <c r="F32" s="3" t="s">
        <v>91</v>
      </c>
      <c r="G32" s="5" t="s">
        <v>110</v>
      </c>
    </row>
    <row r="33" spans="2:7" x14ac:dyDescent="0.3">
      <c r="B33" s="57" t="s">
        <v>49</v>
      </c>
      <c r="C33" s="3" t="s">
        <v>23</v>
      </c>
      <c r="D33" s="3" t="s">
        <v>111</v>
      </c>
      <c r="E33" s="3">
        <v>2.69</v>
      </c>
      <c r="F33" s="3" t="s">
        <v>94</v>
      </c>
      <c r="G33" s="5" t="s">
        <v>112</v>
      </c>
    </row>
    <row r="34" spans="2:7" x14ac:dyDescent="0.3">
      <c r="B34" s="57" t="s">
        <v>49</v>
      </c>
      <c r="C34" s="3" t="s">
        <v>23</v>
      </c>
      <c r="D34" s="3" t="s">
        <v>113</v>
      </c>
      <c r="E34" s="3">
        <v>2.71</v>
      </c>
      <c r="F34" s="3" t="s">
        <v>114</v>
      </c>
      <c r="G34" s="5" t="s">
        <v>115</v>
      </c>
    </row>
    <row r="35" spans="2:7" x14ac:dyDescent="0.3">
      <c r="B35" s="57" t="s">
        <v>49</v>
      </c>
      <c r="C35" s="3" t="s">
        <v>23</v>
      </c>
      <c r="D35" s="3" t="s">
        <v>9</v>
      </c>
      <c r="E35" s="3">
        <v>2.67</v>
      </c>
      <c r="F35" s="3" t="s">
        <v>94</v>
      </c>
      <c r="G35" s="5" t="s">
        <v>116</v>
      </c>
    </row>
    <row r="36" spans="2:7" x14ac:dyDescent="0.3">
      <c r="B36" s="57" t="s">
        <v>49</v>
      </c>
      <c r="C36" s="3" t="s">
        <v>23</v>
      </c>
      <c r="D36" s="3" t="s">
        <v>117</v>
      </c>
      <c r="E36" s="3">
        <v>2.5</v>
      </c>
      <c r="F36" s="3" t="s">
        <v>104</v>
      </c>
      <c r="G36" s="5" t="s">
        <v>118</v>
      </c>
    </row>
    <row r="37" spans="2:7" x14ac:dyDescent="0.3">
      <c r="B37" s="57" t="s">
        <v>49</v>
      </c>
      <c r="C37" s="3" t="s">
        <v>23</v>
      </c>
      <c r="D37" s="3" t="s">
        <v>119</v>
      </c>
      <c r="E37" s="3">
        <v>2.69</v>
      </c>
      <c r="F37" s="3" t="s">
        <v>104</v>
      </c>
      <c r="G37" s="5" t="s">
        <v>120</v>
      </c>
    </row>
    <row r="38" spans="2:7" x14ac:dyDescent="0.3">
      <c r="B38" s="57" t="s">
        <v>49</v>
      </c>
      <c r="C38" s="3" t="s">
        <v>23</v>
      </c>
      <c r="D38" s="3" t="s">
        <v>121</v>
      </c>
      <c r="E38" s="3">
        <v>2.67</v>
      </c>
      <c r="F38" s="3" t="s">
        <v>91</v>
      </c>
      <c r="G38" s="5" t="s">
        <v>122</v>
      </c>
    </row>
    <row r="39" spans="2:7" x14ac:dyDescent="0.3">
      <c r="B39" s="57" t="s">
        <v>49</v>
      </c>
      <c r="C39" s="3" t="s">
        <v>23</v>
      </c>
      <c r="D39" s="3" t="s">
        <v>123</v>
      </c>
      <c r="E39" s="3">
        <v>2.74</v>
      </c>
      <c r="F39" s="3" t="s">
        <v>124</v>
      </c>
      <c r="G39" s="5" t="s">
        <v>125</v>
      </c>
    </row>
    <row r="40" spans="2:7" x14ac:dyDescent="0.3">
      <c r="B40" s="57" t="s">
        <v>49</v>
      </c>
      <c r="C40" s="3" t="s">
        <v>23</v>
      </c>
      <c r="D40" s="3" t="s">
        <v>126</v>
      </c>
      <c r="E40" s="3">
        <v>2.7</v>
      </c>
      <c r="F40" s="3" t="s">
        <v>124</v>
      </c>
      <c r="G40" s="5" t="s">
        <v>127</v>
      </c>
    </row>
    <row r="41" spans="2:7" x14ac:dyDescent="0.3">
      <c r="B41" s="57" t="s">
        <v>49</v>
      </c>
      <c r="C41" s="3" t="s">
        <v>23</v>
      </c>
      <c r="D41" s="3" t="s">
        <v>128</v>
      </c>
      <c r="E41" s="3">
        <v>2.7</v>
      </c>
      <c r="F41" s="3" t="s">
        <v>129</v>
      </c>
      <c r="G41" s="5" t="s">
        <v>130</v>
      </c>
    </row>
    <row r="42" spans="2:7" x14ac:dyDescent="0.3">
      <c r="B42" s="57" t="s">
        <v>49</v>
      </c>
      <c r="C42" s="3" t="s">
        <v>23</v>
      </c>
      <c r="D42" s="3" t="s">
        <v>128</v>
      </c>
      <c r="E42" s="3">
        <v>2.65</v>
      </c>
      <c r="F42" s="3" t="s">
        <v>129</v>
      </c>
      <c r="G42" s="5" t="s">
        <v>130</v>
      </c>
    </row>
    <row r="43" spans="2:7" x14ac:dyDescent="0.3">
      <c r="B43" s="57" t="s">
        <v>49</v>
      </c>
      <c r="C43" s="3" t="s">
        <v>23</v>
      </c>
      <c r="D43" s="3" t="s">
        <v>128</v>
      </c>
      <c r="E43" s="3">
        <v>2.71</v>
      </c>
      <c r="F43" s="3" t="s">
        <v>6</v>
      </c>
      <c r="G43" s="5" t="s">
        <v>130</v>
      </c>
    </row>
    <row r="44" spans="2:7" x14ac:dyDescent="0.3">
      <c r="B44" s="57" t="s">
        <v>49</v>
      </c>
      <c r="C44" s="3" t="s">
        <v>23</v>
      </c>
      <c r="D44" s="3" t="s">
        <v>131</v>
      </c>
      <c r="E44" s="3">
        <v>2.72</v>
      </c>
      <c r="F44" s="3" t="s">
        <v>132</v>
      </c>
      <c r="G44" s="5" t="s">
        <v>133</v>
      </c>
    </row>
    <row r="45" spans="2:7" x14ac:dyDescent="0.3">
      <c r="B45" s="57" t="s">
        <v>49</v>
      </c>
      <c r="C45" s="3" t="s">
        <v>23</v>
      </c>
      <c r="D45" s="3" t="s">
        <v>134</v>
      </c>
      <c r="E45" s="3">
        <v>2.69</v>
      </c>
      <c r="F45" s="3" t="s">
        <v>135</v>
      </c>
      <c r="G45" s="5" t="s">
        <v>136</v>
      </c>
    </row>
    <row r="46" spans="2:7" x14ac:dyDescent="0.3">
      <c r="B46" s="57" t="s">
        <v>49</v>
      </c>
      <c r="C46" s="3" t="s">
        <v>23</v>
      </c>
      <c r="D46" s="3" t="s">
        <v>137</v>
      </c>
      <c r="E46" s="3">
        <v>2.71</v>
      </c>
      <c r="F46" s="3" t="s">
        <v>7</v>
      </c>
      <c r="G46" s="5" t="s">
        <v>138</v>
      </c>
    </row>
    <row r="47" spans="2:7" x14ac:dyDescent="0.3">
      <c r="B47" s="57" t="s">
        <v>49</v>
      </c>
      <c r="C47" s="3" t="s">
        <v>23</v>
      </c>
      <c r="D47" s="3" t="s">
        <v>139</v>
      </c>
      <c r="E47" s="3">
        <v>2.71</v>
      </c>
      <c r="F47" s="3" t="s">
        <v>7</v>
      </c>
      <c r="G47" s="5" t="s">
        <v>140</v>
      </c>
    </row>
    <row r="48" spans="2:7" x14ac:dyDescent="0.3">
      <c r="B48" s="57" t="s">
        <v>49</v>
      </c>
      <c r="C48" s="3" t="s">
        <v>23</v>
      </c>
      <c r="D48" s="3" t="s">
        <v>141</v>
      </c>
      <c r="E48" s="3">
        <v>2.71</v>
      </c>
      <c r="F48" s="3" t="s">
        <v>2</v>
      </c>
      <c r="G48" s="5" t="s">
        <v>142</v>
      </c>
    </row>
    <row r="49" spans="2:7" x14ac:dyDescent="0.3">
      <c r="B49" s="57" t="s">
        <v>49</v>
      </c>
      <c r="C49" s="3" t="s">
        <v>23</v>
      </c>
      <c r="D49" s="3" t="s">
        <v>143</v>
      </c>
      <c r="E49" s="3">
        <v>2.7</v>
      </c>
      <c r="F49" s="3" t="s">
        <v>2</v>
      </c>
      <c r="G49" s="5" t="s">
        <v>144</v>
      </c>
    </row>
    <row r="50" spans="2:7" x14ac:dyDescent="0.3">
      <c r="B50" s="57" t="s">
        <v>49</v>
      </c>
      <c r="C50" s="3" t="s">
        <v>23</v>
      </c>
      <c r="D50" s="3" t="s">
        <v>145</v>
      </c>
      <c r="E50" s="3">
        <v>2.7</v>
      </c>
      <c r="F50" s="3" t="s">
        <v>124</v>
      </c>
      <c r="G50" s="5" t="s">
        <v>146</v>
      </c>
    </row>
    <row r="51" spans="2:7" x14ac:dyDescent="0.3">
      <c r="B51" s="57" t="s">
        <v>49</v>
      </c>
      <c r="C51" s="3" t="s">
        <v>23</v>
      </c>
      <c r="D51" s="3" t="s">
        <v>145</v>
      </c>
      <c r="E51" s="3">
        <v>2.7</v>
      </c>
      <c r="F51" s="3" t="s">
        <v>147</v>
      </c>
      <c r="G51" s="5" t="s">
        <v>146</v>
      </c>
    </row>
    <row r="52" spans="2:7" x14ac:dyDescent="0.3">
      <c r="B52" s="57" t="s">
        <v>49</v>
      </c>
      <c r="C52" s="3" t="s">
        <v>23</v>
      </c>
      <c r="D52" s="3" t="s">
        <v>145</v>
      </c>
      <c r="E52" s="3">
        <v>2.71</v>
      </c>
      <c r="F52" s="3" t="s">
        <v>148</v>
      </c>
      <c r="G52" s="5" t="s">
        <v>146</v>
      </c>
    </row>
    <row r="53" spans="2:7" x14ac:dyDescent="0.3">
      <c r="B53" s="57" t="s">
        <v>49</v>
      </c>
      <c r="C53" s="3" t="s">
        <v>23</v>
      </c>
      <c r="D53" s="3" t="s">
        <v>149</v>
      </c>
      <c r="E53" s="3">
        <v>2.66</v>
      </c>
      <c r="F53" s="3" t="s">
        <v>150</v>
      </c>
      <c r="G53" s="5" t="s">
        <v>151</v>
      </c>
    </row>
    <row r="54" spans="2:7" x14ac:dyDescent="0.3">
      <c r="B54" s="57" t="s">
        <v>49</v>
      </c>
      <c r="C54" s="3" t="s">
        <v>23</v>
      </c>
      <c r="D54" s="3" t="s">
        <v>149</v>
      </c>
      <c r="E54" s="3">
        <v>2.69</v>
      </c>
      <c r="F54" s="3" t="s">
        <v>150</v>
      </c>
      <c r="G54" s="5" t="s">
        <v>151</v>
      </c>
    </row>
    <row r="55" spans="2:7" x14ac:dyDescent="0.3">
      <c r="B55" s="57" t="s">
        <v>49</v>
      </c>
      <c r="C55" s="3" t="s">
        <v>23</v>
      </c>
      <c r="D55" s="3" t="s">
        <v>152</v>
      </c>
      <c r="E55" s="3">
        <v>2.7</v>
      </c>
      <c r="F55" s="3" t="s">
        <v>4</v>
      </c>
      <c r="G55" s="5" t="s">
        <v>153</v>
      </c>
    </row>
    <row r="56" spans="2:7" x14ac:dyDescent="0.3">
      <c r="B56" s="57" t="s">
        <v>49</v>
      </c>
      <c r="C56" s="3" t="s">
        <v>23</v>
      </c>
      <c r="D56" s="3" t="s">
        <v>152</v>
      </c>
      <c r="E56" s="3">
        <v>2.71</v>
      </c>
      <c r="F56" s="3" t="s">
        <v>4</v>
      </c>
      <c r="G56" s="5" t="s">
        <v>153</v>
      </c>
    </row>
    <row r="57" spans="2:7" x14ac:dyDescent="0.3">
      <c r="B57" s="57" t="s">
        <v>49</v>
      </c>
      <c r="C57" s="3" t="s">
        <v>23</v>
      </c>
      <c r="D57" s="3" t="s">
        <v>154</v>
      </c>
      <c r="E57" s="3">
        <v>2.69</v>
      </c>
      <c r="F57" s="3" t="s">
        <v>155</v>
      </c>
      <c r="G57" s="5" t="s">
        <v>156</v>
      </c>
    </row>
    <row r="58" spans="2:7" x14ac:dyDescent="0.3">
      <c r="B58" s="57" t="s">
        <v>49</v>
      </c>
      <c r="C58" s="3" t="s">
        <v>23</v>
      </c>
      <c r="D58" s="3" t="s">
        <v>157</v>
      </c>
      <c r="E58" s="3">
        <v>2.71</v>
      </c>
      <c r="F58" s="3" t="s">
        <v>2</v>
      </c>
      <c r="G58" s="5" t="s">
        <v>158</v>
      </c>
    </row>
    <row r="59" spans="2:7" x14ac:dyDescent="0.3">
      <c r="B59" s="57" t="s">
        <v>49</v>
      </c>
      <c r="C59" s="3" t="s">
        <v>23</v>
      </c>
      <c r="D59" s="3" t="s">
        <v>159</v>
      </c>
      <c r="E59" s="3">
        <v>2.7</v>
      </c>
      <c r="F59" s="3" t="s">
        <v>160</v>
      </c>
      <c r="G59" s="5" t="s">
        <v>161</v>
      </c>
    </row>
    <row r="60" spans="2:7" x14ac:dyDescent="0.3">
      <c r="B60" s="57" t="s">
        <v>49</v>
      </c>
      <c r="C60" s="3" t="s">
        <v>23</v>
      </c>
      <c r="D60" s="3" t="s">
        <v>162</v>
      </c>
      <c r="E60" s="3">
        <v>2.7</v>
      </c>
      <c r="F60" s="3" t="s">
        <v>2</v>
      </c>
      <c r="G60" s="5" t="s">
        <v>163</v>
      </c>
    </row>
    <row r="61" spans="2:7" x14ac:dyDescent="0.3">
      <c r="B61" s="57" t="s">
        <v>49</v>
      </c>
      <c r="C61" s="3" t="s">
        <v>23</v>
      </c>
      <c r="D61" s="3" t="s">
        <v>164</v>
      </c>
      <c r="E61" s="3">
        <v>2.7</v>
      </c>
      <c r="F61" s="3" t="s">
        <v>124</v>
      </c>
      <c r="G61" s="5" t="s">
        <v>165</v>
      </c>
    </row>
    <row r="62" spans="2:7" x14ac:dyDescent="0.3">
      <c r="B62" s="57" t="s">
        <v>49</v>
      </c>
      <c r="C62" s="3" t="s">
        <v>23</v>
      </c>
      <c r="D62" s="3" t="s">
        <v>166</v>
      </c>
      <c r="E62" s="3">
        <v>2.7</v>
      </c>
      <c r="F62" s="3" t="s">
        <v>167</v>
      </c>
      <c r="G62" s="5" t="s">
        <v>168</v>
      </c>
    </row>
    <row r="63" spans="2:7" x14ac:dyDescent="0.3">
      <c r="B63" s="57" t="s">
        <v>49</v>
      </c>
      <c r="C63" s="3" t="s">
        <v>23</v>
      </c>
      <c r="D63" s="3" t="s">
        <v>169</v>
      </c>
      <c r="E63" s="3">
        <v>2.65</v>
      </c>
      <c r="F63" s="3" t="s">
        <v>6</v>
      </c>
      <c r="G63" s="5" t="s">
        <v>170</v>
      </c>
    </row>
    <row r="64" spans="2:7" x14ac:dyDescent="0.3">
      <c r="B64" s="57" t="s">
        <v>49</v>
      </c>
      <c r="C64" s="3" t="s">
        <v>23</v>
      </c>
      <c r="D64" s="3" t="s">
        <v>171</v>
      </c>
      <c r="E64" s="3">
        <v>2.69</v>
      </c>
      <c r="F64" s="3" t="s">
        <v>2</v>
      </c>
      <c r="G64" s="5" t="s">
        <v>172</v>
      </c>
    </row>
    <row r="65" spans="2:7" x14ac:dyDescent="0.3">
      <c r="B65" s="57" t="s">
        <v>49</v>
      </c>
      <c r="C65" s="3" t="s">
        <v>23</v>
      </c>
      <c r="D65" s="3" t="s">
        <v>171</v>
      </c>
      <c r="E65" s="3">
        <v>2.71</v>
      </c>
      <c r="F65" s="3" t="s">
        <v>2</v>
      </c>
      <c r="G65" s="5" t="s">
        <v>172</v>
      </c>
    </row>
    <row r="66" spans="2:7" x14ac:dyDescent="0.3">
      <c r="B66" s="57" t="s">
        <v>49</v>
      </c>
      <c r="C66" s="3" t="s">
        <v>22</v>
      </c>
      <c r="D66" s="3" t="s">
        <v>173</v>
      </c>
      <c r="E66" s="3">
        <v>2.63</v>
      </c>
      <c r="F66" s="3" t="s">
        <v>174</v>
      </c>
      <c r="G66" s="5" t="s">
        <v>175</v>
      </c>
    </row>
    <row r="67" spans="2:7" x14ac:dyDescent="0.3">
      <c r="B67" s="57" t="s">
        <v>49</v>
      </c>
      <c r="C67" s="3" t="s">
        <v>22</v>
      </c>
      <c r="D67" s="3" t="s">
        <v>26</v>
      </c>
      <c r="E67" s="3">
        <v>2.63</v>
      </c>
      <c r="F67" s="3" t="s">
        <v>176</v>
      </c>
      <c r="G67" s="5" t="s">
        <v>177</v>
      </c>
    </row>
    <row r="68" spans="2:7" x14ac:dyDescent="0.3">
      <c r="B68" s="6" t="s">
        <v>49</v>
      </c>
      <c r="C68" s="3" t="s">
        <v>22</v>
      </c>
      <c r="D68" s="3" t="s">
        <v>178</v>
      </c>
      <c r="E68" s="3">
        <v>2.64</v>
      </c>
      <c r="F68" s="3" t="s">
        <v>179</v>
      </c>
      <c r="G68" s="5" t="s">
        <v>180</v>
      </c>
    </row>
    <row r="69" spans="2:7" x14ac:dyDescent="0.3">
      <c r="B69" s="6" t="s">
        <v>49</v>
      </c>
      <c r="C69" s="3" t="s">
        <v>22</v>
      </c>
      <c r="D69" s="3" t="s">
        <v>181</v>
      </c>
      <c r="E69" s="3">
        <v>2.65</v>
      </c>
      <c r="F69" s="3" t="s">
        <v>10</v>
      </c>
      <c r="G69" s="5" t="s">
        <v>182</v>
      </c>
    </row>
    <row r="70" spans="2:7" x14ac:dyDescent="0.3">
      <c r="B70" s="6" t="s">
        <v>49</v>
      </c>
      <c r="C70" s="3" t="s">
        <v>22</v>
      </c>
      <c r="D70" s="3" t="s">
        <v>183</v>
      </c>
      <c r="E70" s="3">
        <v>2.69</v>
      </c>
      <c r="F70" s="3" t="s">
        <v>91</v>
      </c>
      <c r="G70" s="5" t="s">
        <v>184</v>
      </c>
    </row>
    <row r="71" spans="2:7" x14ac:dyDescent="0.3">
      <c r="B71" s="6" t="s">
        <v>49</v>
      </c>
      <c r="C71" s="3" t="s">
        <v>22</v>
      </c>
      <c r="D71" s="3" t="s">
        <v>185</v>
      </c>
      <c r="E71" s="3">
        <v>2.67</v>
      </c>
      <c r="F71" s="3" t="s">
        <v>186</v>
      </c>
      <c r="G71" s="5" t="s">
        <v>187</v>
      </c>
    </row>
    <row r="72" spans="2:7" x14ac:dyDescent="0.3">
      <c r="B72" s="6" t="s">
        <v>49</v>
      </c>
      <c r="C72" s="3" t="s">
        <v>22</v>
      </c>
      <c r="D72" s="3" t="s">
        <v>188</v>
      </c>
      <c r="E72" s="3">
        <v>2.67</v>
      </c>
      <c r="F72" s="3" t="s">
        <v>189</v>
      </c>
      <c r="G72" s="5" t="s">
        <v>190</v>
      </c>
    </row>
    <row r="73" spans="2:7" x14ac:dyDescent="0.3">
      <c r="B73" s="6" t="s">
        <v>49</v>
      </c>
      <c r="C73" s="3" t="s">
        <v>22</v>
      </c>
      <c r="D73" s="3" t="s">
        <v>188</v>
      </c>
      <c r="E73" s="3">
        <v>2.68</v>
      </c>
      <c r="F73" s="3" t="s">
        <v>189</v>
      </c>
      <c r="G73" s="5" t="s">
        <v>190</v>
      </c>
    </row>
    <row r="74" spans="2:7" x14ac:dyDescent="0.3">
      <c r="B74" s="6" t="s">
        <v>49</v>
      </c>
      <c r="C74" s="3" t="s">
        <v>22</v>
      </c>
      <c r="D74" s="3" t="s">
        <v>191</v>
      </c>
      <c r="E74" s="3">
        <v>2.66</v>
      </c>
      <c r="F74" s="3" t="s">
        <v>94</v>
      </c>
      <c r="G74" s="5" t="s">
        <v>192</v>
      </c>
    </row>
    <row r="75" spans="2:7" x14ac:dyDescent="0.3">
      <c r="B75" s="6" t="s">
        <v>49</v>
      </c>
      <c r="C75" s="3" t="s">
        <v>22</v>
      </c>
      <c r="D75" s="3" t="s">
        <v>193</v>
      </c>
      <c r="E75" s="3">
        <v>2.67</v>
      </c>
      <c r="F75" s="3" t="s">
        <v>94</v>
      </c>
      <c r="G75" s="5" t="s">
        <v>194</v>
      </c>
    </row>
    <row r="76" spans="2:7" x14ac:dyDescent="0.3">
      <c r="B76" s="6" t="s">
        <v>49</v>
      </c>
      <c r="C76" s="3" t="s">
        <v>22</v>
      </c>
      <c r="D76" s="3" t="s">
        <v>195</v>
      </c>
      <c r="E76" s="3">
        <v>2.62</v>
      </c>
      <c r="F76" s="3" t="s">
        <v>196</v>
      </c>
      <c r="G76" s="5" t="s">
        <v>197</v>
      </c>
    </row>
    <row r="77" spans="2:7" x14ac:dyDescent="0.3">
      <c r="B77" s="6" t="s">
        <v>49</v>
      </c>
      <c r="C77" s="3" t="s">
        <v>22</v>
      </c>
      <c r="D77" s="3" t="s">
        <v>198</v>
      </c>
      <c r="E77" s="3">
        <v>2.69</v>
      </c>
      <c r="F77" s="3" t="s">
        <v>94</v>
      </c>
      <c r="G77" s="5" t="s">
        <v>199</v>
      </c>
    </row>
    <row r="78" spans="2:7" x14ac:dyDescent="0.3">
      <c r="B78" s="6" t="s">
        <v>49</v>
      </c>
      <c r="C78" s="3" t="s">
        <v>22</v>
      </c>
      <c r="D78" s="3" t="s">
        <v>200</v>
      </c>
      <c r="E78" s="3">
        <v>2.66</v>
      </c>
      <c r="F78" s="3" t="s">
        <v>114</v>
      </c>
      <c r="G78" s="5" t="s">
        <v>201</v>
      </c>
    </row>
    <row r="79" spans="2:7" x14ac:dyDescent="0.3">
      <c r="B79" s="6" t="s">
        <v>49</v>
      </c>
      <c r="C79" s="3" t="s">
        <v>22</v>
      </c>
      <c r="D79" s="3" t="s">
        <v>202</v>
      </c>
      <c r="E79" s="3">
        <v>2.67</v>
      </c>
      <c r="F79" s="3" t="s">
        <v>107</v>
      </c>
      <c r="G79" s="5" t="s">
        <v>203</v>
      </c>
    </row>
    <row r="80" spans="2:7" x14ac:dyDescent="0.3">
      <c r="B80" s="6" t="s">
        <v>49</v>
      </c>
      <c r="C80" s="3" t="s">
        <v>22</v>
      </c>
      <c r="D80" s="3" t="s">
        <v>202</v>
      </c>
      <c r="E80" s="3">
        <v>2.68</v>
      </c>
      <c r="F80" s="3" t="s">
        <v>114</v>
      </c>
      <c r="G80" s="5" t="s">
        <v>203</v>
      </c>
    </row>
    <row r="81" spans="2:7" x14ac:dyDescent="0.3">
      <c r="B81" s="6" t="s">
        <v>49</v>
      </c>
      <c r="C81" s="3" t="s">
        <v>22</v>
      </c>
      <c r="D81" s="3" t="s">
        <v>204</v>
      </c>
      <c r="E81" s="3">
        <v>2.66</v>
      </c>
      <c r="F81" s="3" t="s">
        <v>114</v>
      </c>
      <c r="G81" s="5" t="s">
        <v>205</v>
      </c>
    </row>
    <row r="82" spans="2:7" x14ac:dyDescent="0.3">
      <c r="B82" s="6" t="s">
        <v>49</v>
      </c>
      <c r="C82" s="3" t="s">
        <v>22</v>
      </c>
      <c r="D82" s="3" t="s">
        <v>206</v>
      </c>
      <c r="E82" s="3">
        <v>2.66</v>
      </c>
      <c r="F82" s="3" t="s">
        <v>207</v>
      </c>
      <c r="G82" s="5" t="s">
        <v>208</v>
      </c>
    </row>
    <row r="83" spans="2:7" x14ac:dyDescent="0.3">
      <c r="B83" s="6" t="s">
        <v>49</v>
      </c>
      <c r="C83" s="3" t="s">
        <v>22</v>
      </c>
      <c r="D83" s="3" t="s">
        <v>209</v>
      </c>
      <c r="E83" s="3">
        <v>2.62</v>
      </c>
      <c r="F83" s="3" t="s">
        <v>5</v>
      </c>
      <c r="G83" s="5" t="s">
        <v>210</v>
      </c>
    </row>
    <row r="84" spans="2:7" x14ac:dyDescent="0.3">
      <c r="B84" s="6" t="s">
        <v>49</v>
      </c>
      <c r="C84" s="3" t="s">
        <v>22</v>
      </c>
      <c r="D84" s="3" t="s">
        <v>211</v>
      </c>
      <c r="E84" s="3">
        <v>2.69</v>
      </c>
      <c r="F84" s="3" t="s">
        <v>207</v>
      </c>
      <c r="G84" s="5" t="s">
        <v>212</v>
      </c>
    </row>
    <row r="85" spans="2:7" x14ac:dyDescent="0.3">
      <c r="B85" s="6" t="s">
        <v>49</v>
      </c>
      <c r="C85" s="3" t="s">
        <v>24</v>
      </c>
      <c r="D85" s="3" t="s">
        <v>213</v>
      </c>
      <c r="E85" s="3">
        <v>2.7</v>
      </c>
      <c r="F85" s="3" t="s">
        <v>7</v>
      </c>
      <c r="G85" s="5" t="s">
        <v>214</v>
      </c>
    </row>
    <row r="86" spans="2:7" x14ac:dyDescent="0.3">
      <c r="B86" s="6" t="s">
        <v>49</v>
      </c>
      <c r="C86" s="3" t="s">
        <v>24</v>
      </c>
      <c r="D86" s="3" t="s">
        <v>215</v>
      </c>
      <c r="E86" s="3">
        <v>2.7</v>
      </c>
      <c r="F86" s="3"/>
      <c r="G86" s="5" t="s">
        <v>216</v>
      </c>
    </row>
    <row r="87" spans="2:7" x14ac:dyDescent="0.3">
      <c r="B87" s="6" t="s">
        <v>49</v>
      </c>
      <c r="C87" s="3" t="s">
        <v>8</v>
      </c>
      <c r="D87" s="3" t="s">
        <v>217</v>
      </c>
      <c r="E87" s="3">
        <v>2.61</v>
      </c>
      <c r="F87" s="3" t="s">
        <v>104</v>
      </c>
      <c r="G87" s="5" t="s">
        <v>218</v>
      </c>
    </row>
    <row r="88" spans="2:7" x14ac:dyDescent="0.3">
      <c r="B88" s="6" t="s">
        <v>49</v>
      </c>
      <c r="C88" s="3" t="s">
        <v>22</v>
      </c>
      <c r="D88" s="3" t="s">
        <v>219</v>
      </c>
      <c r="E88" s="3">
        <v>2.68</v>
      </c>
      <c r="F88" s="3" t="s">
        <v>220</v>
      </c>
      <c r="G88" s="5" t="s">
        <v>221</v>
      </c>
    </row>
    <row r="89" spans="2:7" x14ac:dyDescent="0.3">
      <c r="B89" s="6" t="s">
        <v>49</v>
      </c>
      <c r="C89" s="3" t="s">
        <v>8</v>
      </c>
      <c r="D89" s="3" t="s">
        <v>222</v>
      </c>
      <c r="E89" s="3">
        <v>2.66</v>
      </c>
      <c r="F89" s="3" t="s">
        <v>148</v>
      </c>
      <c r="G89" s="5" t="s">
        <v>223</v>
      </c>
    </row>
    <row r="90" spans="2:7" x14ac:dyDescent="0.3">
      <c r="B90" s="6" t="s">
        <v>49</v>
      </c>
      <c r="C90" s="3" t="s">
        <v>23</v>
      </c>
      <c r="D90" s="3" t="s">
        <v>231</v>
      </c>
      <c r="E90" s="3">
        <v>2.6970000000000001</v>
      </c>
      <c r="F90" s="3" t="s">
        <v>232</v>
      </c>
      <c r="G90" s="5" t="s">
        <v>233</v>
      </c>
    </row>
    <row r="91" spans="2:7" x14ac:dyDescent="0.3">
      <c r="B91" s="6" t="s">
        <v>49</v>
      </c>
      <c r="C91" s="3" t="s">
        <v>23</v>
      </c>
      <c r="D91" s="3" t="s">
        <v>234</v>
      </c>
      <c r="E91" s="3">
        <v>2.7</v>
      </c>
      <c r="F91" s="3" t="s">
        <v>207</v>
      </c>
      <c r="G91" s="5" t="s">
        <v>235</v>
      </c>
    </row>
    <row r="92" spans="2:7" x14ac:dyDescent="0.3">
      <c r="B92" s="6" t="s">
        <v>49</v>
      </c>
      <c r="C92" s="3" t="s">
        <v>23</v>
      </c>
      <c r="D92" s="3" t="s">
        <v>236</v>
      </c>
      <c r="E92" s="3">
        <v>2.66</v>
      </c>
      <c r="F92" s="3" t="s">
        <v>179</v>
      </c>
      <c r="G92" s="5" t="s">
        <v>237</v>
      </c>
    </row>
    <row r="93" spans="2:7" x14ac:dyDescent="0.3">
      <c r="B93" s="6" t="s">
        <v>49</v>
      </c>
      <c r="C93" s="3" t="s">
        <v>23</v>
      </c>
      <c r="D93" s="3" t="s">
        <v>238</v>
      </c>
      <c r="E93" s="3">
        <v>2.6819999999999999</v>
      </c>
      <c r="F93" s="3" t="s">
        <v>104</v>
      </c>
      <c r="G93" s="5" t="s">
        <v>239</v>
      </c>
    </row>
    <row r="94" spans="2:7" x14ac:dyDescent="0.3">
      <c r="B94" s="6" t="s">
        <v>49</v>
      </c>
      <c r="C94" s="3" t="s">
        <v>23</v>
      </c>
      <c r="D94" s="3" t="s">
        <v>240</v>
      </c>
      <c r="E94" s="3">
        <v>2.71</v>
      </c>
      <c r="F94" s="3" t="s">
        <v>176</v>
      </c>
      <c r="G94" s="5" t="s">
        <v>105</v>
      </c>
    </row>
    <row r="95" spans="2:7" x14ac:dyDescent="0.3">
      <c r="B95" s="6" t="s">
        <v>49</v>
      </c>
      <c r="C95" s="3" t="s">
        <v>23</v>
      </c>
      <c r="D95" s="3" t="s">
        <v>241</v>
      </c>
      <c r="E95" s="3">
        <v>2.69</v>
      </c>
      <c r="F95" s="3" t="s">
        <v>129</v>
      </c>
      <c r="G95" s="5" t="s">
        <v>242</v>
      </c>
    </row>
    <row r="96" spans="2:7" x14ac:dyDescent="0.3">
      <c r="B96" s="6" t="s">
        <v>49</v>
      </c>
      <c r="C96" s="3" t="s">
        <v>23</v>
      </c>
      <c r="D96" s="3" t="s">
        <v>243</v>
      </c>
      <c r="E96" s="3">
        <v>2.71</v>
      </c>
      <c r="F96" s="3" t="s">
        <v>167</v>
      </c>
      <c r="G96" s="5" t="s">
        <v>244</v>
      </c>
    </row>
    <row r="97" spans="2:7" x14ac:dyDescent="0.3">
      <c r="B97" s="6" t="s">
        <v>49</v>
      </c>
      <c r="C97" s="3" t="s">
        <v>23</v>
      </c>
      <c r="D97" s="3" t="s">
        <v>25</v>
      </c>
      <c r="E97" s="3">
        <v>2.71</v>
      </c>
      <c r="F97" s="3" t="s">
        <v>124</v>
      </c>
      <c r="G97" s="5" t="s">
        <v>245</v>
      </c>
    </row>
    <row r="98" spans="2:7" x14ac:dyDescent="0.3">
      <c r="B98" s="6" t="s">
        <v>49</v>
      </c>
      <c r="C98" s="3" t="s">
        <v>23</v>
      </c>
      <c r="D98" s="3" t="s">
        <v>246</v>
      </c>
      <c r="E98" s="3">
        <v>2.68</v>
      </c>
      <c r="F98" s="3" t="s">
        <v>150</v>
      </c>
      <c r="G98" s="5" t="s">
        <v>247</v>
      </c>
    </row>
    <row r="99" spans="2:7" x14ac:dyDescent="0.3">
      <c r="B99" s="6" t="s">
        <v>49</v>
      </c>
      <c r="C99" s="3" t="s">
        <v>23</v>
      </c>
      <c r="D99" s="3" t="s">
        <v>248</v>
      </c>
      <c r="E99" s="3">
        <v>2.68</v>
      </c>
      <c r="F99" s="3" t="s">
        <v>129</v>
      </c>
      <c r="G99" s="5" t="s">
        <v>249</v>
      </c>
    </row>
    <row r="100" spans="2:7" x14ac:dyDescent="0.3">
      <c r="B100" s="6" t="s">
        <v>49</v>
      </c>
      <c r="C100" s="3" t="s">
        <v>23</v>
      </c>
      <c r="D100" s="3" t="s">
        <v>250</v>
      </c>
      <c r="E100" s="3">
        <v>2.69</v>
      </c>
      <c r="F100" s="3" t="s">
        <v>155</v>
      </c>
      <c r="G100" s="5" t="s">
        <v>251</v>
      </c>
    </row>
    <row r="101" spans="2:7" x14ac:dyDescent="0.3">
      <c r="B101" s="6" t="s">
        <v>49</v>
      </c>
      <c r="C101" s="3" t="s">
        <v>23</v>
      </c>
      <c r="D101" s="3" t="s">
        <v>252</v>
      </c>
      <c r="E101" s="3">
        <v>2.68</v>
      </c>
      <c r="F101" s="3" t="s">
        <v>2</v>
      </c>
      <c r="G101" s="5" t="s">
        <v>253</v>
      </c>
    </row>
    <row r="102" spans="2:7" x14ac:dyDescent="0.3">
      <c r="B102" s="6" t="s">
        <v>49</v>
      </c>
      <c r="C102" s="3" t="s">
        <v>23</v>
      </c>
      <c r="D102" s="3" t="s">
        <v>254</v>
      </c>
      <c r="E102" s="3">
        <v>2.68</v>
      </c>
      <c r="F102" s="3" t="s">
        <v>255</v>
      </c>
      <c r="G102" s="5" t="s">
        <v>256</v>
      </c>
    </row>
    <row r="103" spans="2:7" x14ac:dyDescent="0.3">
      <c r="B103" s="6" t="s">
        <v>49</v>
      </c>
      <c r="C103" s="3" t="s">
        <v>23</v>
      </c>
      <c r="D103" s="3" t="s">
        <v>257</v>
      </c>
      <c r="E103" s="3">
        <v>2.68</v>
      </c>
      <c r="F103" s="3" t="s">
        <v>220</v>
      </c>
      <c r="G103" s="5" t="s">
        <v>258</v>
      </c>
    </row>
    <row r="104" spans="2:7" x14ac:dyDescent="0.3">
      <c r="B104" s="6" t="s">
        <v>49</v>
      </c>
      <c r="C104" s="3" t="s">
        <v>23</v>
      </c>
      <c r="D104" s="3" t="s">
        <v>259</v>
      </c>
      <c r="E104" s="3">
        <v>2.7</v>
      </c>
      <c r="F104" s="3" t="s">
        <v>2</v>
      </c>
      <c r="G104" s="5" t="s">
        <v>260</v>
      </c>
    </row>
    <row r="105" spans="2:7" x14ac:dyDescent="0.3">
      <c r="B105" s="6" t="s">
        <v>49</v>
      </c>
      <c r="C105" s="3" t="s">
        <v>23</v>
      </c>
      <c r="D105" s="3" t="s">
        <v>261</v>
      </c>
      <c r="E105" s="3">
        <v>2.7</v>
      </c>
      <c r="F105" s="3" t="s">
        <v>262</v>
      </c>
      <c r="G105" s="5" t="s">
        <v>263</v>
      </c>
    </row>
    <row r="106" spans="2:7" x14ac:dyDescent="0.3">
      <c r="B106" s="6" t="s">
        <v>49</v>
      </c>
      <c r="C106" s="3" t="s">
        <v>23</v>
      </c>
      <c r="D106" s="3" t="s">
        <v>264</v>
      </c>
      <c r="E106" s="3">
        <v>2.68</v>
      </c>
      <c r="F106" s="3" t="s">
        <v>189</v>
      </c>
      <c r="G106" s="5" t="s">
        <v>265</v>
      </c>
    </row>
    <row r="107" spans="2:7" x14ac:dyDescent="0.3">
      <c r="B107" s="6" t="s">
        <v>49</v>
      </c>
      <c r="C107" s="3" t="s">
        <v>23</v>
      </c>
      <c r="D107" s="3" t="s">
        <v>266</v>
      </c>
      <c r="E107" s="3">
        <v>2.5</v>
      </c>
      <c r="F107" s="3" t="s">
        <v>104</v>
      </c>
      <c r="G107" s="5" t="s">
        <v>267</v>
      </c>
    </row>
    <row r="108" spans="2:7" x14ac:dyDescent="0.3">
      <c r="B108" s="6" t="s">
        <v>49</v>
      </c>
      <c r="C108" s="3" t="s">
        <v>23</v>
      </c>
      <c r="D108" s="3" t="s">
        <v>268</v>
      </c>
      <c r="E108" s="3">
        <v>2.67</v>
      </c>
      <c r="F108" s="3" t="s">
        <v>104</v>
      </c>
      <c r="G108" s="5" t="s">
        <v>269</v>
      </c>
    </row>
    <row r="109" spans="2:7" x14ac:dyDescent="0.3">
      <c r="B109" s="6" t="s">
        <v>49</v>
      </c>
      <c r="C109" s="3" t="s">
        <v>22</v>
      </c>
      <c r="D109" s="3" t="s">
        <v>384</v>
      </c>
      <c r="E109" s="3">
        <v>2.65</v>
      </c>
      <c r="F109" s="3" t="s">
        <v>114</v>
      </c>
      <c r="G109" s="5" t="s">
        <v>385</v>
      </c>
    </row>
    <row r="110" spans="2:7" x14ac:dyDescent="0.3">
      <c r="B110" s="6" t="s">
        <v>20</v>
      </c>
      <c r="C110" s="3" t="s">
        <v>273</v>
      </c>
      <c r="D110" s="3" t="s">
        <v>272</v>
      </c>
      <c r="E110" s="3">
        <v>3.15</v>
      </c>
      <c r="F110" s="3" t="s">
        <v>1</v>
      </c>
      <c r="G110" s="5" t="s">
        <v>274</v>
      </c>
    </row>
    <row r="111" spans="2:7" x14ac:dyDescent="0.3">
      <c r="B111" s="6" t="s">
        <v>20</v>
      </c>
      <c r="C111" s="3" t="s">
        <v>273</v>
      </c>
      <c r="D111" s="3" t="s">
        <v>276</v>
      </c>
      <c r="E111" s="3">
        <v>3.15</v>
      </c>
      <c r="F111" s="3" t="s">
        <v>1</v>
      </c>
      <c r="G111" s="5" t="s">
        <v>277</v>
      </c>
    </row>
    <row r="112" spans="2:7" x14ac:dyDescent="0.3">
      <c r="B112" s="6" t="s">
        <v>20</v>
      </c>
      <c r="C112" s="3" t="s">
        <v>273</v>
      </c>
      <c r="D112" s="3" t="s">
        <v>278</v>
      </c>
      <c r="E112" s="3">
        <v>3.15</v>
      </c>
      <c r="F112" s="3" t="s">
        <v>1</v>
      </c>
      <c r="G112" s="5" t="s">
        <v>279</v>
      </c>
    </row>
    <row r="113" spans="2:7" x14ac:dyDescent="0.3">
      <c r="B113" s="6" t="s">
        <v>20</v>
      </c>
      <c r="C113" s="3" t="s">
        <v>401</v>
      </c>
      <c r="D113" s="3" t="s">
        <v>50</v>
      </c>
      <c r="E113" s="3">
        <v>2.92</v>
      </c>
      <c r="F113" s="3" t="s">
        <v>104</v>
      </c>
      <c r="G113" s="5" t="s">
        <v>280</v>
      </c>
    </row>
    <row r="114" spans="2:7" x14ac:dyDescent="0.3">
      <c r="B114" s="6" t="s">
        <v>20</v>
      </c>
      <c r="C114" s="3" t="s">
        <v>273</v>
      </c>
      <c r="D114" s="3" t="s">
        <v>47</v>
      </c>
      <c r="E114" s="3">
        <v>3.15</v>
      </c>
      <c r="F114" s="3" t="s">
        <v>281</v>
      </c>
      <c r="G114" s="5" t="s">
        <v>282</v>
      </c>
    </row>
    <row r="115" spans="2:7" x14ac:dyDescent="0.3">
      <c r="B115" s="6" t="s">
        <v>20</v>
      </c>
      <c r="C115" s="3" t="s">
        <v>273</v>
      </c>
      <c r="D115" s="3" t="s">
        <v>284</v>
      </c>
      <c r="E115" s="3">
        <v>3.15</v>
      </c>
      <c r="F115" s="3" t="s">
        <v>283</v>
      </c>
      <c r="G115" s="5" t="s">
        <v>285</v>
      </c>
    </row>
    <row r="116" spans="2:7" x14ac:dyDescent="0.3">
      <c r="B116" s="6" t="s">
        <v>20</v>
      </c>
      <c r="C116" s="3" t="s">
        <v>273</v>
      </c>
      <c r="D116" s="3" t="s">
        <v>286</v>
      </c>
      <c r="E116" s="3">
        <v>3.15</v>
      </c>
      <c r="F116" s="3" t="s">
        <v>281</v>
      </c>
      <c r="G116" s="5" t="s">
        <v>287</v>
      </c>
    </row>
    <row r="117" spans="2:7" x14ac:dyDescent="0.3">
      <c r="B117" s="6" t="s">
        <v>20</v>
      </c>
      <c r="C117" s="3" t="s">
        <v>275</v>
      </c>
      <c r="D117" s="3" t="s">
        <v>288</v>
      </c>
      <c r="E117" s="3">
        <v>3.15</v>
      </c>
      <c r="F117" s="3" t="s">
        <v>289</v>
      </c>
      <c r="G117" s="5" t="s">
        <v>290</v>
      </c>
    </row>
    <row r="118" spans="2:7" x14ac:dyDescent="0.3">
      <c r="B118" s="6" t="s">
        <v>20</v>
      </c>
      <c r="C118" s="3" t="s">
        <v>273</v>
      </c>
      <c r="D118" s="3" t="s">
        <v>291</v>
      </c>
      <c r="E118" s="3">
        <v>3.15</v>
      </c>
      <c r="F118" s="3" t="s">
        <v>292</v>
      </c>
      <c r="G118" s="5" t="s">
        <v>293</v>
      </c>
    </row>
    <row r="119" spans="2:7" x14ac:dyDescent="0.3">
      <c r="B119" s="6" t="s">
        <v>63</v>
      </c>
      <c r="C119" s="3" t="s">
        <v>307</v>
      </c>
      <c r="D119" s="3" t="s">
        <v>306</v>
      </c>
      <c r="E119" s="3">
        <v>1</v>
      </c>
      <c r="F119" s="3"/>
      <c r="G119" s="5" t="s">
        <v>308</v>
      </c>
    </row>
    <row r="120" spans="2:7" x14ac:dyDescent="0.3">
      <c r="B120" s="6" t="s">
        <v>63</v>
      </c>
      <c r="C120" s="3" t="s">
        <v>307</v>
      </c>
      <c r="D120" s="3" t="s">
        <v>353</v>
      </c>
      <c r="E120" s="3">
        <v>1</v>
      </c>
      <c r="F120" s="3" t="s">
        <v>226</v>
      </c>
      <c r="G120" s="5" t="s">
        <v>354</v>
      </c>
    </row>
    <row r="121" spans="2:7" x14ac:dyDescent="0.3">
      <c r="B121" s="6" t="s">
        <v>52</v>
      </c>
      <c r="C121" s="3" t="s">
        <v>294</v>
      </c>
      <c r="D121" s="3" t="s">
        <v>53</v>
      </c>
      <c r="E121" s="3">
        <v>2.6</v>
      </c>
      <c r="F121" s="3" t="s">
        <v>104</v>
      </c>
      <c r="G121" s="5" t="s">
        <v>295</v>
      </c>
    </row>
    <row r="122" spans="2:7" x14ac:dyDescent="0.3">
      <c r="B122" s="6" t="s">
        <v>52</v>
      </c>
      <c r="C122" s="3" t="s">
        <v>294</v>
      </c>
      <c r="D122" s="3" t="s">
        <v>368</v>
      </c>
      <c r="E122" s="3">
        <v>2.6</v>
      </c>
      <c r="F122" s="3" t="s">
        <v>104</v>
      </c>
      <c r="G122" s="5" t="s">
        <v>369</v>
      </c>
    </row>
    <row r="123" spans="2:7" x14ac:dyDescent="0.3">
      <c r="B123" s="6" t="s">
        <v>21</v>
      </c>
      <c r="C123" s="3" t="s">
        <v>310</v>
      </c>
      <c r="D123" s="3" t="s">
        <v>309</v>
      </c>
      <c r="E123" s="3">
        <v>2.3199999999999998</v>
      </c>
      <c r="F123" s="3" t="s">
        <v>311</v>
      </c>
      <c r="G123" s="5" t="s">
        <v>312</v>
      </c>
    </row>
    <row r="124" spans="2:7" x14ac:dyDescent="0.3">
      <c r="B124" s="6" t="s">
        <v>21</v>
      </c>
      <c r="C124" s="3" t="s">
        <v>314</v>
      </c>
      <c r="D124" s="3" t="s">
        <v>313</v>
      </c>
      <c r="E124" s="3">
        <v>2.66</v>
      </c>
      <c r="F124" s="3" t="s">
        <v>315</v>
      </c>
      <c r="G124" s="5" t="s">
        <v>316</v>
      </c>
    </row>
    <row r="125" spans="2:7" x14ac:dyDescent="0.3">
      <c r="B125" s="6" t="s">
        <v>21</v>
      </c>
      <c r="C125" s="3" t="s">
        <v>310</v>
      </c>
      <c r="D125" s="3" t="s">
        <v>317</v>
      </c>
      <c r="E125" s="3">
        <v>2.4</v>
      </c>
      <c r="F125" s="3" t="s">
        <v>315</v>
      </c>
      <c r="G125" s="5" t="s">
        <v>318</v>
      </c>
    </row>
    <row r="126" spans="2:7" x14ac:dyDescent="0.3">
      <c r="B126" s="6" t="s">
        <v>21</v>
      </c>
      <c r="C126" s="3" t="s">
        <v>310</v>
      </c>
      <c r="D126" s="3" t="s">
        <v>319</v>
      </c>
      <c r="E126" s="3">
        <v>2.5099999999999998</v>
      </c>
      <c r="F126" s="3" t="s">
        <v>320</v>
      </c>
      <c r="G126" s="5" t="s">
        <v>321</v>
      </c>
    </row>
    <row r="127" spans="2:7" x14ac:dyDescent="0.3">
      <c r="B127" s="6" t="s">
        <v>21</v>
      </c>
      <c r="C127" s="3" t="s">
        <v>310</v>
      </c>
      <c r="D127" s="3" t="s">
        <v>322</v>
      </c>
      <c r="E127" s="3">
        <v>2.46</v>
      </c>
      <c r="F127" s="3"/>
      <c r="G127" s="5" t="s">
        <v>323</v>
      </c>
    </row>
    <row r="128" spans="2:7" x14ac:dyDescent="0.3">
      <c r="B128" s="6" t="s">
        <v>21</v>
      </c>
      <c r="C128" s="3" t="s">
        <v>310</v>
      </c>
      <c r="D128" s="3" t="s">
        <v>324</v>
      </c>
      <c r="E128" s="3">
        <v>2.4</v>
      </c>
      <c r="F128" s="3" t="s">
        <v>325</v>
      </c>
      <c r="G128" s="5" t="s">
        <v>326</v>
      </c>
    </row>
    <row r="129" spans="2:7" x14ac:dyDescent="0.3">
      <c r="B129" s="6" t="s">
        <v>21</v>
      </c>
      <c r="C129" s="3" t="s">
        <v>77</v>
      </c>
      <c r="D129" s="3" t="s">
        <v>327</v>
      </c>
      <c r="E129" s="3">
        <v>2.67</v>
      </c>
      <c r="F129" s="3" t="s">
        <v>281</v>
      </c>
      <c r="G129" s="5" t="s">
        <v>328</v>
      </c>
    </row>
    <row r="130" spans="2:7" x14ac:dyDescent="0.3">
      <c r="B130" s="6" t="s">
        <v>21</v>
      </c>
      <c r="C130" s="3" t="s">
        <v>77</v>
      </c>
      <c r="D130" s="3" t="s">
        <v>329</v>
      </c>
      <c r="E130" s="3">
        <v>2.63</v>
      </c>
      <c r="F130" s="3" t="s">
        <v>281</v>
      </c>
      <c r="G130" s="5" t="s">
        <v>330</v>
      </c>
    </row>
    <row r="131" spans="2:7" x14ac:dyDescent="0.3">
      <c r="B131" s="6" t="s">
        <v>21</v>
      </c>
      <c r="C131" s="3" t="s">
        <v>77</v>
      </c>
      <c r="D131" s="3" t="s">
        <v>331</v>
      </c>
      <c r="E131" s="3">
        <v>2.7</v>
      </c>
      <c r="F131" s="3" t="s">
        <v>129</v>
      </c>
      <c r="G131" s="5" t="s">
        <v>332</v>
      </c>
    </row>
    <row r="132" spans="2:7" x14ac:dyDescent="0.3">
      <c r="B132" s="6" t="s">
        <v>21</v>
      </c>
      <c r="C132" s="3" t="s">
        <v>310</v>
      </c>
      <c r="D132" s="3" t="s">
        <v>333</v>
      </c>
      <c r="E132" s="3">
        <v>2.63</v>
      </c>
      <c r="F132" s="3" t="s">
        <v>334</v>
      </c>
      <c r="G132" s="5" t="s">
        <v>335</v>
      </c>
    </row>
    <row r="133" spans="2:7" x14ac:dyDescent="0.3">
      <c r="B133" s="6" t="s">
        <v>21</v>
      </c>
      <c r="C133" s="3" t="s">
        <v>314</v>
      </c>
      <c r="D133" s="3" t="s">
        <v>336</v>
      </c>
      <c r="E133" s="3">
        <v>2.68</v>
      </c>
      <c r="F133" s="3" t="s">
        <v>337</v>
      </c>
      <c r="G133" s="5" t="s">
        <v>338</v>
      </c>
    </row>
    <row r="134" spans="2:7" x14ac:dyDescent="0.3">
      <c r="B134" s="6" t="s">
        <v>21</v>
      </c>
      <c r="C134" s="3" t="s">
        <v>314</v>
      </c>
      <c r="D134" s="3" t="s">
        <v>339</v>
      </c>
      <c r="E134" s="3">
        <v>2.66</v>
      </c>
      <c r="F134" s="3" t="s">
        <v>340</v>
      </c>
      <c r="G134" s="5" t="s">
        <v>340</v>
      </c>
    </row>
    <row r="135" spans="2:7" x14ac:dyDescent="0.3">
      <c r="B135" s="6" t="s">
        <v>21</v>
      </c>
      <c r="C135" s="3" t="s">
        <v>314</v>
      </c>
      <c r="D135" s="3" t="s">
        <v>48</v>
      </c>
      <c r="E135" s="3">
        <v>2.74</v>
      </c>
      <c r="F135" s="3" t="s">
        <v>341</v>
      </c>
      <c r="G135" s="5" t="s">
        <v>342</v>
      </c>
    </row>
    <row r="136" spans="2:7" x14ac:dyDescent="0.3">
      <c r="B136" s="6" t="s">
        <v>21</v>
      </c>
      <c r="C136" s="3" t="s">
        <v>77</v>
      </c>
      <c r="D136" s="3" t="s">
        <v>343</v>
      </c>
      <c r="E136" s="3">
        <v>2.68</v>
      </c>
      <c r="F136" s="3" t="s">
        <v>344</v>
      </c>
      <c r="G136" s="5" t="s">
        <v>344</v>
      </c>
    </row>
    <row r="137" spans="2:7" x14ac:dyDescent="0.3">
      <c r="B137" s="6" t="s">
        <v>21</v>
      </c>
      <c r="C137" s="3" t="s">
        <v>76</v>
      </c>
      <c r="D137" s="3" t="s">
        <v>355</v>
      </c>
      <c r="E137" s="3">
        <v>2.2000000000000002</v>
      </c>
      <c r="F137" s="3" t="s">
        <v>356</v>
      </c>
      <c r="G137" s="5" t="s">
        <v>357</v>
      </c>
    </row>
    <row r="138" spans="2:7" x14ac:dyDescent="0.3">
      <c r="B138" s="6" t="s">
        <v>21</v>
      </c>
      <c r="C138" s="3" t="s">
        <v>75</v>
      </c>
      <c r="D138" s="3" t="s">
        <v>377</v>
      </c>
      <c r="E138" s="3">
        <v>2.92</v>
      </c>
      <c r="F138" s="3" t="s">
        <v>378</v>
      </c>
      <c r="G138" s="5" t="s">
        <v>379</v>
      </c>
    </row>
    <row r="139" spans="2:7" x14ac:dyDescent="0.3">
      <c r="B139" s="6" t="s">
        <v>21</v>
      </c>
      <c r="C139" s="3" t="s">
        <v>75</v>
      </c>
      <c r="D139" s="3" t="s">
        <v>380</v>
      </c>
      <c r="E139" s="3">
        <v>2.92</v>
      </c>
      <c r="F139" s="3" t="s">
        <v>104</v>
      </c>
      <c r="G139" s="5" t="s">
        <v>403</v>
      </c>
    </row>
    <row r="140" spans="2:7" x14ac:dyDescent="0.3">
      <c r="B140" s="6" t="s">
        <v>21</v>
      </c>
      <c r="C140" s="3" t="s">
        <v>75</v>
      </c>
      <c r="D140" s="3" t="s">
        <v>381</v>
      </c>
      <c r="E140" s="3">
        <v>2.87</v>
      </c>
      <c r="F140" s="3" t="s">
        <v>0</v>
      </c>
      <c r="G140" s="5" t="s">
        <v>382</v>
      </c>
    </row>
    <row r="141" spans="2:7" x14ac:dyDescent="0.3">
      <c r="B141" s="62" t="s">
        <v>21</v>
      </c>
      <c r="C141" s="63" t="s">
        <v>75</v>
      </c>
      <c r="D141" s="63" t="s">
        <v>51</v>
      </c>
      <c r="E141" s="63">
        <v>2.95</v>
      </c>
      <c r="F141" s="63" t="s">
        <v>383</v>
      </c>
      <c r="G141" s="64" t="s">
        <v>404</v>
      </c>
    </row>
    <row r="142" spans="2:7" x14ac:dyDescent="0.3">
      <c r="B142" s="6" t="s">
        <v>13</v>
      </c>
      <c r="C142" s="3" t="s">
        <v>14</v>
      </c>
      <c r="D142" s="3" t="s">
        <v>67</v>
      </c>
      <c r="E142" s="3">
        <v>1</v>
      </c>
      <c r="F142" s="3"/>
      <c r="G142" s="5"/>
    </row>
    <row r="143" spans="2:7" x14ac:dyDescent="0.3">
      <c r="B143" s="62" t="s">
        <v>13</v>
      </c>
      <c r="C143" s="63" t="s">
        <v>66</v>
      </c>
      <c r="D143" s="63" t="s">
        <v>68</v>
      </c>
      <c r="E143" s="63">
        <v>1</v>
      </c>
      <c r="F143" s="63"/>
      <c r="G143" s="6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AFC93-BE14-4196-BBA5-46703735B515}">
  <sheetPr codeName="Sheet3"/>
  <dimension ref="A1:O24"/>
  <sheetViews>
    <sheetView zoomScale="70" zoomScaleNormal="70" workbookViewId="0">
      <selection activeCell="B2" sqref="B2"/>
    </sheetView>
  </sheetViews>
  <sheetFormatPr defaultRowHeight="14.4" x14ac:dyDescent="0.3"/>
  <cols>
    <col min="1" max="1" width="15.5546875" bestFit="1" customWidth="1"/>
    <col min="2" max="2" width="25.6640625" customWidth="1"/>
    <col min="3" max="3" width="19.44140625" bestFit="1" customWidth="1"/>
    <col min="4" max="4" width="18.33203125" bestFit="1" customWidth="1"/>
    <col min="5" max="6" width="17.33203125" bestFit="1" customWidth="1"/>
    <col min="7" max="7" width="30.5546875" bestFit="1" customWidth="1"/>
    <col min="8" max="8" width="27.109375" bestFit="1" customWidth="1"/>
    <col min="9" max="9" width="25.5546875" bestFit="1" customWidth="1"/>
    <col min="10" max="10" width="23.44140625" bestFit="1" customWidth="1"/>
    <col min="11" max="11" width="15.33203125" bestFit="1" customWidth="1"/>
    <col min="12" max="12" width="20.33203125" bestFit="1" customWidth="1"/>
    <col min="13" max="13" width="24.109375" bestFit="1" customWidth="1"/>
    <col min="14" max="14" width="30.5546875" bestFit="1" customWidth="1"/>
    <col min="15" max="15" width="27.5546875" bestFit="1" customWidth="1"/>
    <col min="16" max="21" width="9" customWidth="1"/>
  </cols>
  <sheetData>
    <row r="1" spans="1:15" x14ac:dyDescent="0.3">
      <c r="A1" s="65" t="s">
        <v>408</v>
      </c>
    </row>
    <row r="2" spans="1:15" x14ac:dyDescent="0.3">
      <c r="B2" t="str" cm="1">
        <f t="array" ref="B2:D2">_xlfn.TOROW(_xlfn.UNIQUE((_xlfn._xlws.FILTER(Materials_List[Types],'SSD &amp; Batch values'!B16=Materials_List[Classes],""))))</f>
        <v>Type IL</v>
      </c>
      <c r="C2" t="str">
        <v>CarbonSense Cement</v>
      </c>
      <c r="D2" t="str">
        <v>Type I-II</v>
      </c>
    </row>
    <row r="3" spans="1:15" x14ac:dyDescent="0.3">
      <c r="B3" t="str" cm="1">
        <f t="array" ref="B3:D3">_xlfn.TOROW(_xlfn.UNIQUE((_xlfn._xlws.FILTER(Materials_List[Types],'SSD &amp; Batch values'!B17=Materials_List[Classes],""))))</f>
        <v>Type IL</v>
      </c>
      <c r="C3" t="str">
        <v>CarbonSense Cement</v>
      </c>
      <c r="D3" t="str">
        <v>Type I-II</v>
      </c>
    </row>
    <row r="4" spans="1:15" x14ac:dyDescent="0.3">
      <c r="B4" t="str" cm="1">
        <f t="array" ref="B4:D4">_xlfn.TOROW(_xlfn.UNIQUE((_xlfn._xlws.FILTER(Materials_List[Types],'SSD &amp; Batch values'!B18=Materials_List[Classes],""))))</f>
        <v>Type IL</v>
      </c>
      <c r="C4" t="str">
        <v>CarbonSense Cement</v>
      </c>
      <c r="D4" t="str">
        <v>Type I-II</v>
      </c>
    </row>
    <row r="5" spans="1:15" x14ac:dyDescent="0.3">
      <c r="B5" t="str" cm="1">
        <f t="array" ref="B5:F5">_xlfn.TOROW(_xlfn.UNIQUE((_xlfn._xlws.FILTER(Materials_List[Types],'SSD &amp; Batch values'!B19=Materials_List[Classes],""))))</f>
        <v>Fly Ash F</v>
      </c>
      <c r="C5" t="str">
        <v>Fly Ash C</v>
      </c>
      <c r="D5" t="str">
        <v>Fly Ash</v>
      </c>
      <c r="E5" t="str">
        <v>Silica Fume</v>
      </c>
      <c r="F5" t="str">
        <v>GGBFS</v>
      </c>
    </row>
    <row r="6" spans="1:15" x14ac:dyDescent="0.3">
      <c r="B6" t="str" cm="1">
        <f t="array" ref="B6:F6">_xlfn.TOROW(_xlfn.UNIQUE((_xlfn._xlws.FILTER(Materials_List[Types],'SSD &amp; Batch values'!B20=Materials_List[Classes],""))))</f>
        <v>Fly Ash F</v>
      </c>
      <c r="C6" t="str">
        <v>Fly Ash C</v>
      </c>
      <c r="D6" t="str">
        <v>Fly Ash</v>
      </c>
      <c r="E6" t="str">
        <v>Silica Fume</v>
      </c>
      <c r="F6" t="str">
        <v>GGBFS</v>
      </c>
    </row>
    <row r="7" spans="1:15" x14ac:dyDescent="0.3">
      <c r="B7" t="str" cm="1">
        <f t="array" ref="B7:F7">_xlfn.TOROW(_xlfn.UNIQUE((_xlfn._xlws.FILTER(Materials_List[Types],'SSD &amp; Batch values'!B21=Materials_List[Classes],""))))</f>
        <v>Fly Ash F</v>
      </c>
      <c r="C7" t="str">
        <v>Fly Ash C</v>
      </c>
      <c r="D7" t="str">
        <v>Fly Ash</v>
      </c>
      <c r="E7" t="str">
        <v>Silica Fume</v>
      </c>
      <c r="F7" t="str">
        <v>GGBFS</v>
      </c>
    </row>
    <row r="8" spans="1:15" x14ac:dyDescent="0.3">
      <c r="B8" t="str" cm="1">
        <f t="array" ref="B8:F8">_xlfn.TOROW(_xlfn.UNIQUE((_xlfn._xlws.FILTER(Materials_List[Types],'SSD &amp; Batch values'!B22=Materials_List[Classes],""))))</f>
        <v>Fly Ash F</v>
      </c>
      <c r="C8" t="str">
        <v>Fly Ash C</v>
      </c>
      <c r="D8" t="str">
        <v>Fly Ash</v>
      </c>
      <c r="E8" t="str">
        <v>Silica Fume</v>
      </c>
      <c r="F8" t="str">
        <v>GGBFS</v>
      </c>
    </row>
    <row r="9" spans="1:15" x14ac:dyDescent="0.3">
      <c r="B9" t="str" cm="1">
        <f t="array" ref="B9">_xlfn.TOROW(_xlfn.UNIQUE((_xlfn._xlws.FILTER(Materials_List[Types],'SSD &amp; Batch values'!B23=Materials_List[Classes],""))))</f>
        <v>Type S Specific Performance</v>
      </c>
    </row>
    <row r="10" spans="1:15" x14ac:dyDescent="0.3">
      <c r="B10" t="str" cm="1">
        <f t="array" ref="B10">_xlfn.TOROW(_xlfn.UNIQUE((_xlfn._xlws.FILTER(Materials_List[Types],'SSD &amp; Batch values'!B24=Materials_List[Classes],""))))</f>
        <v>Type S Specific Performance</v>
      </c>
    </row>
    <row r="11" spans="1:15" x14ac:dyDescent="0.3">
      <c r="B11" t="str" cm="1">
        <f t="array" ref="B11:E11">_xlfn.TOROW(_xlfn.UNIQUE((_xlfn._xlws.FILTER(Materials_List[Types],'SSD &amp; Batch values'!B25=Materials_List[Classes],""))))</f>
        <v>Coarse Aggregate</v>
      </c>
      <c r="C11" t="str">
        <v>Fine Aggregate</v>
      </c>
      <c r="D11" t="str">
        <v>Manufactured Sand</v>
      </c>
      <c r="E11" t="str">
        <v>Blended Sand</v>
      </c>
    </row>
    <row r="12" spans="1:15" x14ac:dyDescent="0.3">
      <c r="B12" t="str" cm="1">
        <f t="array" ref="B12:E12">_xlfn.TOROW(_xlfn.UNIQUE((_xlfn._xlws.FILTER(Materials_List[Types],'SSD &amp; Batch values'!B26=Materials_List[Classes],""))))</f>
        <v>Coarse Aggregate</v>
      </c>
      <c r="C12" t="str">
        <v>Fine Aggregate</v>
      </c>
      <c r="D12" t="str">
        <v>Manufactured Sand</v>
      </c>
      <c r="E12" t="str">
        <v>Blended Sand</v>
      </c>
    </row>
    <row r="13" spans="1:15" x14ac:dyDescent="0.3">
      <c r="B13" t="str" cm="1">
        <f t="array" ref="B13:E13">_xlfn.TOROW(_xlfn.UNIQUE((_xlfn._xlws.FILTER(Materials_List[Types],'SSD &amp; Batch values'!B27=Materials_List[Classes],""))))</f>
        <v>Coarse Aggregate</v>
      </c>
      <c r="C13" t="str">
        <v>Fine Aggregate</v>
      </c>
      <c r="D13" t="str">
        <v>Manufactured Sand</v>
      </c>
      <c r="E13" t="str">
        <v>Blended Sand</v>
      </c>
    </row>
    <row r="14" spans="1:15" x14ac:dyDescent="0.3">
      <c r="B14" t="str" cm="1">
        <f t="array" ref="B14:E14">_xlfn.TOROW(_xlfn.UNIQUE((_xlfn._xlws.FILTER(Materials_List[Types],'SSD &amp; Batch values'!B28=Materials_List[Classes],""))))</f>
        <v>Coarse Aggregate</v>
      </c>
      <c r="C14" t="str">
        <v>Fine Aggregate</v>
      </c>
      <c r="D14" t="str">
        <v>Manufactured Sand</v>
      </c>
      <c r="E14" t="str">
        <v>Blended Sand</v>
      </c>
    </row>
    <row r="15" spans="1:15" x14ac:dyDescent="0.3">
      <c r="B15" t="str" cm="1">
        <f t="array" ref="B15:O15">_xlfn.TOROW(_xlfn.UNIQUE((_xlfn._xlws.FILTER(Materials_List[Types],'SSD &amp; Batch values'!B29=Materials_List[Classes],""))))</f>
        <v>Air Entrainer</v>
      </c>
      <c r="C15" t="str">
        <v>CO2</v>
      </c>
      <c r="D15" t="str">
        <v>Corrosion Inhibitor</v>
      </c>
      <c r="E15" t="str">
        <v>Shrinkage Reducer</v>
      </c>
      <c r="F15" t="str">
        <v>Viscosity Modifier</v>
      </c>
      <c r="G15" t="str">
        <v>Type F High Range Water Reducer</v>
      </c>
      <c r="H15" t="str">
        <v>Calcium Chloride Accelerator</v>
      </c>
      <c r="I15" t="str">
        <v>Multi-Range Water Reducer</v>
      </c>
      <c r="J15" t="str">
        <v>Non-Chloride Accelerator</v>
      </c>
      <c r="K15" t="str">
        <v>Water Repellent</v>
      </c>
      <c r="L15" t="str">
        <v>Type A Water Reducer</v>
      </c>
      <c r="M15" t="str">
        <v>Type A &amp; D Water Reducer</v>
      </c>
      <c r="N15" t="str">
        <v>Type D Water Reducer &amp; Retarder</v>
      </c>
      <c r="O15" t="str">
        <v>Strength Enhancing Admixture</v>
      </c>
    </row>
    <row r="16" spans="1:15" x14ac:dyDescent="0.3">
      <c r="B16" t="str" cm="1">
        <f t="array" ref="B16:O16">_xlfn.TOROW(_xlfn.UNIQUE((_xlfn._xlws.FILTER(Materials_List[Types],'SSD &amp; Batch values'!B30=Materials_List[Classes],""))))</f>
        <v>Air Entrainer</v>
      </c>
      <c r="C16" t="str">
        <v>CO2</v>
      </c>
      <c r="D16" t="str">
        <v>Corrosion Inhibitor</v>
      </c>
      <c r="E16" t="str">
        <v>Shrinkage Reducer</v>
      </c>
      <c r="F16" t="str">
        <v>Viscosity Modifier</v>
      </c>
      <c r="G16" t="str">
        <v>Type F High Range Water Reducer</v>
      </c>
      <c r="H16" t="str">
        <v>Calcium Chloride Accelerator</v>
      </c>
      <c r="I16" t="str">
        <v>Multi-Range Water Reducer</v>
      </c>
      <c r="J16" t="str">
        <v>Non-Chloride Accelerator</v>
      </c>
      <c r="K16" t="str">
        <v>Water Repellent</v>
      </c>
      <c r="L16" t="str">
        <v>Type A Water Reducer</v>
      </c>
      <c r="M16" t="str">
        <v>Type A &amp; D Water Reducer</v>
      </c>
      <c r="N16" t="str">
        <v>Type D Water Reducer &amp; Retarder</v>
      </c>
      <c r="O16" t="str">
        <v>Strength Enhancing Admixture</v>
      </c>
    </row>
    <row r="17" spans="2:15" x14ac:dyDescent="0.3">
      <c r="B17" t="str" cm="1">
        <f t="array" ref="B17:O17">_xlfn.TOROW(_xlfn.UNIQUE((_xlfn._xlws.FILTER(Materials_List[Types],'SSD &amp; Batch values'!B31=Materials_List[Classes],""))))</f>
        <v>Air Entrainer</v>
      </c>
      <c r="C17" t="str">
        <v>CO2</v>
      </c>
      <c r="D17" t="str">
        <v>Corrosion Inhibitor</v>
      </c>
      <c r="E17" t="str">
        <v>Shrinkage Reducer</v>
      </c>
      <c r="F17" t="str">
        <v>Viscosity Modifier</v>
      </c>
      <c r="G17" t="str">
        <v>Type F High Range Water Reducer</v>
      </c>
      <c r="H17" t="str">
        <v>Calcium Chloride Accelerator</v>
      </c>
      <c r="I17" t="str">
        <v>Multi-Range Water Reducer</v>
      </c>
      <c r="J17" t="str">
        <v>Non-Chloride Accelerator</v>
      </c>
      <c r="K17" t="str">
        <v>Water Repellent</v>
      </c>
      <c r="L17" t="str">
        <v>Type A Water Reducer</v>
      </c>
      <c r="M17" t="str">
        <v>Type A &amp; D Water Reducer</v>
      </c>
      <c r="N17" t="str">
        <v>Type D Water Reducer &amp; Retarder</v>
      </c>
      <c r="O17" t="str">
        <v>Strength Enhancing Admixture</v>
      </c>
    </row>
    <row r="18" spans="2:15" x14ac:dyDescent="0.3">
      <c r="B18" t="str" cm="1">
        <f t="array" ref="B18:O18">_xlfn.TOROW(_xlfn.UNIQUE((_xlfn._xlws.FILTER(Materials_List[Types],'SSD &amp; Batch values'!B32=Materials_List[Classes],""))))</f>
        <v>Air Entrainer</v>
      </c>
      <c r="C18" t="str">
        <v>CO2</v>
      </c>
      <c r="D18" t="str">
        <v>Corrosion Inhibitor</v>
      </c>
      <c r="E18" t="str">
        <v>Shrinkage Reducer</v>
      </c>
      <c r="F18" t="str">
        <v>Viscosity Modifier</v>
      </c>
      <c r="G18" t="str">
        <v>Type F High Range Water Reducer</v>
      </c>
      <c r="H18" t="str">
        <v>Calcium Chloride Accelerator</v>
      </c>
      <c r="I18" t="str">
        <v>Multi-Range Water Reducer</v>
      </c>
      <c r="J18" t="str">
        <v>Non-Chloride Accelerator</v>
      </c>
      <c r="K18" t="str">
        <v>Water Repellent</v>
      </c>
      <c r="L18" t="str">
        <v>Type A Water Reducer</v>
      </c>
      <c r="M18" t="str">
        <v>Type A &amp; D Water Reducer</v>
      </c>
      <c r="N18" t="str">
        <v>Type D Water Reducer &amp; Retarder</v>
      </c>
      <c r="O18" t="str">
        <v>Strength Enhancing Admixture</v>
      </c>
    </row>
    <row r="19" spans="2:15" x14ac:dyDescent="0.3">
      <c r="B19" t="str" cm="1">
        <f t="array" ref="B19:O19">_xlfn.TOROW(_xlfn.UNIQUE((_xlfn._xlws.FILTER(Materials_List[Types],'SSD &amp; Batch values'!B33=Materials_List[Classes],""))))</f>
        <v>Air Entrainer</v>
      </c>
      <c r="C19" t="str">
        <v>CO2</v>
      </c>
      <c r="D19" t="str">
        <v>Corrosion Inhibitor</v>
      </c>
      <c r="E19" t="str">
        <v>Shrinkage Reducer</v>
      </c>
      <c r="F19" t="str">
        <v>Viscosity Modifier</v>
      </c>
      <c r="G19" t="str">
        <v>Type F High Range Water Reducer</v>
      </c>
      <c r="H19" t="str">
        <v>Calcium Chloride Accelerator</v>
      </c>
      <c r="I19" t="str">
        <v>Multi-Range Water Reducer</v>
      </c>
      <c r="J19" t="str">
        <v>Non-Chloride Accelerator</v>
      </c>
      <c r="K19" t="str">
        <v>Water Repellent</v>
      </c>
      <c r="L19" t="str">
        <v>Type A Water Reducer</v>
      </c>
      <c r="M19" t="str">
        <v>Type A &amp; D Water Reducer</v>
      </c>
      <c r="N19" t="str">
        <v>Type D Water Reducer &amp; Retarder</v>
      </c>
      <c r="O19" t="str">
        <v>Strength Enhancing Admixture</v>
      </c>
    </row>
    <row r="20" spans="2:15" x14ac:dyDescent="0.3">
      <c r="B20" t="str" cm="1">
        <f t="array" ref="B20:O20">_xlfn.TOROW(_xlfn.UNIQUE((_xlfn._xlws.FILTER(Materials_List[Types],'SSD &amp; Batch values'!B34=Materials_List[Classes],""))))</f>
        <v>Air Entrainer</v>
      </c>
      <c r="C20" t="str">
        <v>CO2</v>
      </c>
      <c r="D20" t="str">
        <v>Corrosion Inhibitor</v>
      </c>
      <c r="E20" t="str">
        <v>Shrinkage Reducer</v>
      </c>
      <c r="F20" t="str">
        <v>Viscosity Modifier</v>
      </c>
      <c r="G20" t="str">
        <v>Type F High Range Water Reducer</v>
      </c>
      <c r="H20" t="str">
        <v>Calcium Chloride Accelerator</v>
      </c>
      <c r="I20" t="str">
        <v>Multi-Range Water Reducer</v>
      </c>
      <c r="J20" t="str">
        <v>Non-Chloride Accelerator</v>
      </c>
      <c r="K20" t="str">
        <v>Water Repellent</v>
      </c>
      <c r="L20" t="str">
        <v>Type A Water Reducer</v>
      </c>
      <c r="M20" t="str">
        <v>Type A &amp; D Water Reducer</v>
      </c>
      <c r="N20" t="str">
        <v>Type D Water Reducer &amp; Retarder</v>
      </c>
      <c r="O20" t="str">
        <v>Strength Enhancing Admixture</v>
      </c>
    </row>
    <row r="21" spans="2:15" x14ac:dyDescent="0.3">
      <c r="B21" t="str" cm="1">
        <f t="array" ref="B21">_xlfn.TOROW(_xlfn.UNIQUE((_xlfn._xlws.FILTER(Materials_List[Types],'SSD &amp; Batch values'!B35=Materials_List[Classes],""))))</f>
        <v>Fibers</v>
      </c>
    </row>
    <row r="22" spans="2:15" x14ac:dyDescent="0.3">
      <c r="B22" t="str" cm="1">
        <f t="array" ref="B22">_xlfn.TOROW(_xlfn.UNIQUE((_xlfn._xlws.FILTER(Materials_List[Types],'SSD &amp; Batch values'!B36=Materials_List[Classes],""))))</f>
        <v>Fibers</v>
      </c>
    </row>
    <row r="23" spans="2:15" x14ac:dyDescent="0.3">
      <c r="B23" t="str" cm="1">
        <f t="array" ref="B23:C23">_xlfn.TOROW(_xlfn.UNIQUE((_xlfn._xlws.FILTER(Materials_List[Types],'SSD &amp; Batch values'!B37=Materials_List[Classes],""))))</f>
        <v>City Water</v>
      </c>
      <c r="C23" t="str">
        <v>Recycled Water</v>
      </c>
    </row>
    <row r="24" spans="2:15" x14ac:dyDescent="0.3">
      <c r="B24" t="str" cm="1">
        <f t="array" ref="B24:C24">_xlfn.TOROW(_xlfn.UNIQUE((_xlfn._xlws.FILTER(Materials_List[Types],'SSD &amp; Batch values'!B38=Materials_List[Classes],""))))</f>
        <v>City Water</v>
      </c>
      <c r="C24" t="str">
        <v>Recycled Water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0B89-6E18-4D49-BFA1-39D82334D50D}">
  <sheetPr codeName="Sheet4"/>
  <dimension ref="A1:BB24"/>
  <sheetViews>
    <sheetView zoomScale="70" zoomScaleNormal="70" workbookViewId="0">
      <selection activeCell="B2" sqref="B2"/>
    </sheetView>
  </sheetViews>
  <sheetFormatPr defaultRowHeight="14.4" x14ac:dyDescent="0.3"/>
  <cols>
    <col min="1" max="1" width="16.6640625" bestFit="1" customWidth="1"/>
    <col min="2" max="2" width="25.6640625" bestFit="1" customWidth="1"/>
    <col min="3" max="3" width="19.44140625" bestFit="1" customWidth="1"/>
    <col min="4" max="4" width="18.33203125" bestFit="1" customWidth="1"/>
    <col min="5" max="6" width="17.33203125" bestFit="1" customWidth="1"/>
    <col min="7" max="7" width="30.5546875" bestFit="1" customWidth="1"/>
    <col min="8" max="8" width="27.109375" bestFit="1" customWidth="1"/>
    <col min="9" max="9" width="25.5546875" bestFit="1" customWidth="1"/>
    <col min="10" max="10" width="23.44140625" bestFit="1" customWidth="1"/>
    <col min="11" max="11" width="15.33203125" bestFit="1" customWidth="1"/>
    <col min="12" max="12" width="20.33203125" bestFit="1" customWidth="1"/>
    <col min="13" max="13" width="24.109375" bestFit="1" customWidth="1"/>
    <col min="14" max="14" width="30.5546875" bestFit="1" customWidth="1"/>
    <col min="15" max="15" width="27.5546875" bestFit="1" customWidth="1"/>
    <col min="16" max="21" width="9" customWidth="1"/>
  </cols>
  <sheetData>
    <row r="1" spans="1:54" x14ac:dyDescent="0.3">
      <c r="A1" s="65" t="s">
        <v>409</v>
      </c>
    </row>
    <row r="2" spans="1:54" x14ac:dyDescent="0.3">
      <c r="B2" t="str" cm="1">
        <f t="array" ref="B2:H2">_xlfn.TOROW(_xlfn.UNIQUE((_xlfn._xlws.FILTER(Materials_List[Names],('SSD &amp; Batch values'!C16=Materials_List[Types])*('SSD &amp; Batch values'!B16=Materials_List[Classes]),""))))</f>
        <v>CEM-BUZ1LS</v>
      </c>
      <c r="C2" t="str">
        <v>CEM-BUZF1L</v>
      </c>
      <c r="D2" t="str">
        <v>CEM-BUZG1L</v>
      </c>
      <c r="E2" t="str">
        <v>CEM-HCM1L</v>
      </c>
      <c r="F2" t="str">
        <v>CEM-ILL1L</v>
      </c>
      <c r="G2" t="str">
        <v>CEM-LAFA1L</v>
      </c>
      <c r="H2" t="str">
        <v>CEM-STMC1L</v>
      </c>
    </row>
    <row r="3" spans="1:54" x14ac:dyDescent="0.3">
      <c r="B3" t="str" cm="1">
        <f t="array" ref="B3">_xlfn.TOROW(_xlfn.UNIQUE((_xlfn._xlws.FILTER(Materials_List[Names],('SSD &amp; Batch values'!C17=Materials_List[Types])*('SSD &amp; Batch values'!B17=Materials_List[Classes]),""))))</f>
        <v/>
      </c>
    </row>
    <row r="4" spans="1:54" x14ac:dyDescent="0.3">
      <c r="B4" t="str" cm="1">
        <f t="array" ref="B4">_xlfn.TOROW(_xlfn.UNIQUE((_xlfn._xlws.FILTER(Materials_List[Names],('SSD &amp; Batch values'!C18=Materials_List[Types])*('SSD &amp; Batch values'!B18=Materials_List[Classes]),""))))</f>
        <v/>
      </c>
    </row>
    <row r="5" spans="1:54" x14ac:dyDescent="0.3">
      <c r="B5" t="str" cm="1">
        <f t="array" ref="B5:E5">_xlfn.TOROW(_xlfn.UNIQUE((_xlfn._xlws.FILTER(Materials_List[Names],('SSD &amp; Batch values'!C19=Materials_List[Types])*('SSD &amp; Batch values'!B19=Materials_List[Classes]),""))))</f>
        <v>SLG-ANSHN</v>
      </c>
      <c r="C5" t="str">
        <v>SLG-CSC</v>
      </c>
      <c r="D5" t="str">
        <v>SLG-NCM</v>
      </c>
      <c r="E5" t="str">
        <v>SLG-SKY</v>
      </c>
    </row>
    <row r="6" spans="1:54" x14ac:dyDescent="0.3">
      <c r="B6" t="str" cm="1">
        <f t="array" ref="B6">_xlfn.TOROW(_xlfn.UNIQUE((_xlfn._xlws.FILTER(Materials_List[Names],('SSD &amp; Batch values'!C20=Materials_List[Types])*('SSD &amp; Batch values'!B20=Materials_List[Classes]),""))))</f>
        <v/>
      </c>
    </row>
    <row r="7" spans="1:54" x14ac:dyDescent="0.3">
      <c r="B7" t="str" cm="1">
        <f t="array" ref="B7">_xlfn.TOROW(_xlfn.UNIQUE((_xlfn._xlws.FILTER(Materials_List[Names],('SSD &amp; Batch values'!C21=Materials_List[Types])*('SSD &amp; Batch values'!B21=Materials_List[Classes]),""))))</f>
        <v/>
      </c>
    </row>
    <row r="8" spans="1:54" x14ac:dyDescent="0.3">
      <c r="B8" t="str" cm="1">
        <f t="array" ref="B8">_xlfn.TOROW(_xlfn.UNIQUE((_xlfn._xlws.FILTER(Materials_List[Names],('SSD &amp; Batch values'!C22=Materials_List[Types])*('SSD &amp; Batch values'!B22=Materials_List[Classes]),""))))</f>
        <v/>
      </c>
    </row>
    <row r="9" spans="1:54" x14ac:dyDescent="0.3">
      <c r="B9" t="str" cm="1">
        <f t="array" ref="B9:C9">_xlfn.TOROW(_xlfn.UNIQUE((_xlfn._xlws.FILTER(Materials_List[Names],('SSD &amp; Batch values'!C23=Materials_List[Types])*('SSD &amp; Batch values'!B23=Materials_List[Classes]),""))))</f>
        <v>CS-FE</v>
      </c>
      <c r="C9" t="str">
        <v>OZ-FE</v>
      </c>
    </row>
    <row r="10" spans="1:54" x14ac:dyDescent="0.3">
      <c r="B10" t="str" cm="1">
        <f t="array" ref="B10">_xlfn.TOROW(_xlfn.UNIQUE((_xlfn._xlws.FILTER(Materials_List[Names],('SSD &amp; Batch values'!C24=Materials_List[Types])*('SSD &amp; Batch values'!B24=Materials_List[Classes]),""))))</f>
        <v/>
      </c>
    </row>
    <row r="11" spans="1:54" x14ac:dyDescent="0.3">
      <c r="B11" t="str" cm="1">
        <f t="array" ref="B11:BB11">_xlfn.TOROW(_xlfn.UNIQUE((_xlfn._xlws.FILTER(Materials_List[Names],('SSD &amp; Batch values'!C25=Materials_List[Types])*('SSD &amp; Batch values'!B25=Materials_List[Classes]),""))))</f>
        <v>20CM111BE</v>
      </c>
      <c r="C11" t="str">
        <v>20CM111MA</v>
      </c>
      <c r="D11" t="str">
        <v>20CM111MM</v>
      </c>
      <c r="E11" t="str">
        <v>20CM111SAB</v>
      </c>
      <c r="F11" t="str">
        <v>20CM11MR</v>
      </c>
      <c r="G11" t="str">
        <v>20CM11OH</v>
      </c>
      <c r="H11" t="str">
        <v>20CM11SM</v>
      </c>
      <c r="I11" t="str">
        <v>20CM161BE</v>
      </c>
      <c r="J11" t="str">
        <v>20CM161MM</v>
      </c>
      <c r="K11" t="str">
        <v>20CM161SB</v>
      </c>
      <c r="L11" t="str">
        <v>20CM16MR</v>
      </c>
      <c r="M11" t="str">
        <v>20CM16OC</v>
      </c>
      <c r="N11" t="str">
        <v>21CA11OC</v>
      </c>
      <c r="O11" t="str">
        <v>22CM111BB</v>
      </c>
      <c r="P11" t="str">
        <v>22CM111HF</v>
      </c>
      <c r="Q11" t="str">
        <v>22CM111HR</v>
      </c>
      <c r="R11" t="str">
        <v>22CM111LF</v>
      </c>
      <c r="S11" t="str">
        <v>22CM111LL</v>
      </c>
      <c r="T11" t="str">
        <v>22CM111R3S</v>
      </c>
      <c r="U11" t="str">
        <v>22CM111VB</v>
      </c>
      <c r="V11" t="str">
        <v>22CM111VMC</v>
      </c>
      <c r="W11" t="str">
        <v>22CM111VMT</v>
      </c>
      <c r="X11" t="str">
        <v>22CM111VS</v>
      </c>
      <c r="Y11" t="str">
        <v>22CM11BHT</v>
      </c>
      <c r="Z11" t="str">
        <v>22CM11BLC</v>
      </c>
      <c r="AA11" t="str">
        <v>22CM11BLJ</v>
      </c>
      <c r="AB11" t="str">
        <v>22CM11BPM</v>
      </c>
      <c r="AC11" t="str">
        <v>22CM11OVMC</v>
      </c>
      <c r="AD11" t="str">
        <v>22CM11VRFT</v>
      </c>
      <c r="AE11" t="str">
        <v>22CM11VS</v>
      </c>
      <c r="AF11" t="str">
        <v>22CM131HT</v>
      </c>
      <c r="AG11" t="str">
        <v>22CM161HR</v>
      </c>
      <c r="AH11" t="str">
        <v>22CM161LF</v>
      </c>
      <c r="AI11" t="str">
        <v>22CM161VMC</v>
      </c>
      <c r="AJ11" t="str">
        <v>CA-BGR15CL</v>
      </c>
      <c r="AK11" t="str">
        <v>CA-BGR15TA</v>
      </c>
      <c r="AL11" t="str">
        <v>CA1120RR</v>
      </c>
      <c r="AM11" t="str">
        <v>CABGR34OC</v>
      </c>
      <c r="AN11" t="str">
        <v>CABGR34OH</v>
      </c>
      <c r="AO11" t="str">
        <v>CALAFM</v>
      </c>
      <c r="AP11" t="str">
        <v>CALST15HR</v>
      </c>
      <c r="AQ11" t="str">
        <v>CALST15HT</v>
      </c>
      <c r="AR11" t="str">
        <v>CALST15LC</v>
      </c>
      <c r="AS11" t="str">
        <v>CALST15LJ</v>
      </c>
      <c r="AT11" t="str">
        <v>CALST15PM</v>
      </c>
      <c r="AU11" t="str">
        <v>CALST15VBB</v>
      </c>
      <c r="AV11" t="str">
        <v>CALST15VL</v>
      </c>
      <c r="AW11" t="str">
        <v>CALST15VMC</v>
      </c>
      <c r="AX11" t="str">
        <v>CALST15VS</v>
      </c>
      <c r="AY11" t="str">
        <v>CALST15WM</v>
      </c>
      <c r="AZ11" t="str">
        <v>CAPGR38LE</v>
      </c>
      <c r="BA11" t="str">
        <v>CAPGR38OC</v>
      </c>
      <c r="BB11" t="str">
        <v>CAPGR38OH</v>
      </c>
    </row>
    <row r="12" spans="1:54" x14ac:dyDescent="0.3">
      <c r="B12" t="str" cm="1">
        <f t="array" ref="B12:T12">_xlfn.TOROW(_xlfn.UNIQUE((_xlfn._xlws.FILTER(Materials_List[Names],('SSD &amp; Batch values'!C26=Materials_List[Types])*('SSD &amp; Batch values'!B26=Materials_List[Classes]),""))))</f>
        <v>27FM01GC</v>
      </c>
      <c r="C12" t="str">
        <v>27FM01OH</v>
      </c>
      <c r="D12" t="str">
        <v>27FM01RGR</v>
      </c>
      <c r="E12" t="str">
        <v>27FM02AS</v>
      </c>
      <c r="F12" t="str">
        <v>27FM02BE</v>
      </c>
      <c r="G12" t="str">
        <v>27FM02FR</v>
      </c>
      <c r="H12" t="str">
        <v>27FM02LE</v>
      </c>
      <c r="I12" t="str">
        <v>27FM02MA</v>
      </c>
      <c r="J12" t="str">
        <v>27FM02MM</v>
      </c>
      <c r="K12" t="str">
        <v>27FM02MN</v>
      </c>
      <c r="L12" t="str">
        <v>27FM02MR</v>
      </c>
      <c r="M12" t="str">
        <v>27FM02SAB</v>
      </c>
      <c r="N12" t="str">
        <v>27FM02SM</v>
      </c>
      <c r="O12" t="str">
        <v>27FM02SW</v>
      </c>
      <c r="P12" t="str">
        <v>27FM02TA</v>
      </c>
      <c r="Q12" t="str">
        <v>27FM02TH</v>
      </c>
      <c r="R12" t="str">
        <v>27FM02TP</v>
      </c>
      <c r="S12" t="str">
        <v>29FM20HR</v>
      </c>
      <c r="T12" t="str">
        <v>SND-NS-SAB</v>
      </c>
    </row>
    <row r="13" spans="1:54" x14ac:dyDescent="0.3">
      <c r="B13" t="str" cm="1">
        <f t="array" ref="B13">_xlfn.TOROW(_xlfn.UNIQUE((_xlfn._xlws.FILTER(Materials_List[Names],('SSD &amp; Batch values'!C27=Materials_List[Types])*('SSD &amp; Batch values'!B27=Materials_List[Classes]),""))))</f>
        <v/>
      </c>
    </row>
    <row r="14" spans="1:54" x14ac:dyDescent="0.3">
      <c r="B14" t="str" cm="1">
        <f t="array" ref="B14">_xlfn.TOROW(_xlfn.UNIQUE((_xlfn._xlws.FILTER(Materials_List[Names],('SSD &amp; Batch values'!C28=Materials_List[Types])*('SSD &amp; Batch values'!B28=Materials_List[Classes]),""))))</f>
        <v/>
      </c>
    </row>
    <row r="15" spans="1:54" x14ac:dyDescent="0.3">
      <c r="B15" t="str" cm="1">
        <f t="array" ref="B15">_xlfn.TOROW(_xlfn.UNIQUE((_xlfn._xlws.FILTER(Materials_List[Names],('SSD &amp; Batch values'!C29=Materials_List[Types])*('SSD &amp; Batch values'!B29=Materials_List[Classes]),""))))</f>
        <v>WR-82</v>
      </c>
    </row>
    <row r="16" spans="1:54" x14ac:dyDescent="0.3">
      <c r="B16" t="str" cm="1">
        <f t="array" ref="B16">_xlfn.TOROW(_xlfn.UNIQUE((_xlfn._xlws.FILTER(Materials_List[Names],('SSD &amp; Batch values'!C30=Materials_List[Types])*('SSD &amp; Batch values'!B30=Materials_List[Classes]),""))))</f>
        <v/>
      </c>
    </row>
    <row r="17" spans="2:3" x14ac:dyDescent="0.3">
      <c r="B17" t="str" cm="1">
        <f t="array" ref="B17">_xlfn.TOROW(_xlfn.UNIQUE((_xlfn._xlws.FILTER(Materials_List[Names],('SSD &amp; Batch values'!C31=Materials_List[Types])*('SSD &amp; Batch values'!B31=Materials_List[Classes]),""))))</f>
        <v/>
      </c>
    </row>
    <row r="18" spans="2:3" x14ac:dyDescent="0.3">
      <c r="B18" t="str" cm="1">
        <f t="array" ref="B18">_xlfn.TOROW(_xlfn.UNIQUE((_xlfn._xlws.FILTER(Materials_List[Names],('SSD &amp; Batch values'!C32=Materials_List[Types])*('SSD &amp; Batch values'!B32=Materials_List[Classes]),""))))</f>
        <v/>
      </c>
    </row>
    <row r="19" spans="2:3" x14ac:dyDescent="0.3">
      <c r="B19" t="str" cm="1">
        <f t="array" ref="B19">_xlfn.TOROW(_xlfn.UNIQUE((_xlfn._xlws.FILTER(Materials_List[Names],('SSD &amp; Batch values'!C33=Materials_List[Types])*('SSD &amp; Batch values'!B33=Materials_List[Classes]),""))))</f>
        <v/>
      </c>
    </row>
    <row r="20" spans="2:3" x14ac:dyDescent="0.3">
      <c r="B20" t="str" cm="1">
        <f t="array" ref="B20">_xlfn.TOROW(_xlfn.UNIQUE((_xlfn._xlws.FILTER(Materials_List[Names],('SSD &amp; Batch values'!C34=Materials_List[Types])*('SSD &amp; Batch values'!B34=Materials_List[Classes]),""))))</f>
        <v/>
      </c>
    </row>
    <row r="21" spans="2:3" x14ac:dyDescent="0.3">
      <c r="B21" t="str" cm="1">
        <f t="array" ref="B21:C21">_xlfn.TOROW(_xlfn.UNIQUE((_xlfn._xlws.FILTER(Materials_List[Names],('SSD &amp; Batch values'!C35=Materials_List[Types])*('SSD &amp; Batch values'!B35=Materials_List[Classes]),""))))</f>
        <v>FIBERS</v>
      </c>
      <c r="C21" t="str">
        <v>LQFIBER</v>
      </c>
    </row>
    <row r="22" spans="2:3" x14ac:dyDescent="0.3">
      <c r="B22" t="str" cm="1">
        <f t="array" ref="B22">_xlfn.TOROW(_xlfn.UNIQUE((_xlfn._xlws.FILTER(Materials_List[Names],('SSD &amp; Batch values'!C36=Materials_List[Types])*('SSD &amp; Batch values'!B36=Materials_List[Classes]),""))))</f>
        <v/>
      </c>
    </row>
    <row r="23" spans="2:3" x14ac:dyDescent="0.3">
      <c r="B23" t="str" cm="1">
        <f t="array" ref="B23">_xlfn.TOROW(_xlfn.UNIQUE((_xlfn._xlws.FILTER(Materials_List[Names],('SSD &amp; Batch values'!C37=Materials_List[Types])*('SSD &amp; Batch values'!B37=Materials_List[Classes]),""))))</f>
        <v>W1</v>
      </c>
    </row>
    <row r="24" spans="2:3" x14ac:dyDescent="0.3">
      <c r="B24" t="str" cm="1">
        <f t="array" ref="B24">_xlfn.TOROW(_xlfn.UNIQUE((_xlfn._xlws.FILTER(Materials_List[Names],('SSD &amp; Batch values'!C38=Materials_List[Types])*('SSD &amp; Batch values'!B38=Materials_List[Classes]),""))))</f>
        <v>W2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3148-9839-4FF6-8B4E-FCE1C7C2B1E2}">
  <sheetPr codeName="Sheet5"/>
  <dimension ref="A1:C24"/>
  <sheetViews>
    <sheetView zoomScale="70" zoomScaleNormal="70" workbookViewId="0">
      <selection activeCell="E31" sqref="E31"/>
    </sheetView>
  </sheetViews>
  <sheetFormatPr defaultRowHeight="14.4" x14ac:dyDescent="0.3"/>
  <cols>
    <col min="1" max="1" width="13.88671875" bestFit="1" customWidth="1"/>
    <col min="2" max="2" width="25.6640625" bestFit="1" customWidth="1"/>
    <col min="3" max="3" width="19.44140625" bestFit="1" customWidth="1"/>
    <col min="4" max="4" width="18.33203125" bestFit="1" customWidth="1"/>
    <col min="5" max="6" width="17.33203125" bestFit="1" customWidth="1"/>
    <col min="7" max="7" width="30.5546875" bestFit="1" customWidth="1"/>
    <col min="8" max="8" width="27.109375" bestFit="1" customWidth="1"/>
    <col min="9" max="9" width="25.5546875" bestFit="1" customWidth="1"/>
    <col min="10" max="10" width="23.44140625" bestFit="1" customWidth="1"/>
    <col min="11" max="11" width="15.33203125" bestFit="1" customWidth="1"/>
    <col min="12" max="12" width="20.33203125" bestFit="1" customWidth="1"/>
    <col min="13" max="13" width="24.109375" bestFit="1" customWidth="1"/>
    <col min="14" max="14" width="30.5546875" bestFit="1" customWidth="1"/>
    <col min="15" max="15" width="27.5546875" bestFit="1" customWidth="1"/>
    <col min="16" max="21" width="9" customWidth="1"/>
  </cols>
  <sheetData>
    <row r="1" spans="1:3" x14ac:dyDescent="0.3">
      <c r="A1" s="65" t="s">
        <v>410</v>
      </c>
    </row>
    <row r="2" spans="1:3" x14ac:dyDescent="0.3">
      <c r="B2" cm="1">
        <f t="array" ref="B2">_xlfn.TOROW(_xlfn.UNIQUE((_xlfn._xlws.FILTER(Materials_List[Specific Gravities],('SSD &amp; Batch values'!B16=Materials_List[Classes])*('SSD &amp; Batch values'!C16=Materials_List[Types])*('SSD &amp; Batch values'!D16=Materials_List[Names]),""))))</f>
        <v>3.15</v>
      </c>
    </row>
    <row r="3" spans="1:3" x14ac:dyDescent="0.3">
      <c r="B3" t="str" cm="1">
        <f t="array" ref="B3">_xlfn.TOROW(_xlfn.UNIQUE((_xlfn._xlws.FILTER(Materials_List[Specific Gravities],('SSD &amp; Batch values'!B17=Materials_List[Classes])*('SSD &amp; Batch values'!C17=Materials_List[Types])*('SSD &amp; Batch values'!D17=Materials_List[Names]),""))))</f>
        <v/>
      </c>
    </row>
    <row r="4" spans="1:3" x14ac:dyDescent="0.3">
      <c r="B4" t="str" cm="1">
        <f t="array" ref="B4">_xlfn.TOROW(_xlfn.UNIQUE((_xlfn._xlws.FILTER(Materials_List[Specific Gravities],('SSD &amp; Batch values'!B18=Materials_List[Classes])*('SSD &amp; Batch values'!C18=Materials_List[Types])*('SSD &amp; Batch values'!D18=Materials_List[Names]),""))))</f>
        <v/>
      </c>
    </row>
    <row r="5" spans="1:3" x14ac:dyDescent="0.3">
      <c r="B5" cm="1">
        <f t="array" ref="B5">_xlfn.TOROW(_xlfn.UNIQUE((_xlfn._xlws.FILTER(Materials_List[Specific Gravities],('SSD &amp; Batch values'!B19=Materials_List[Classes])*('SSD &amp; Batch values'!C19=Materials_List[Types])*('SSD &amp; Batch values'!D19=Materials_List[Names]),""))))</f>
        <v>2.95</v>
      </c>
    </row>
    <row r="6" spans="1:3" x14ac:dyDescent="0.3">
      <c r="B6" t="str" cm="1">
        <f t="array" ref="B6">_xlfn.TOROW(_xlfn.UNIQUE((_xlfn._xlws.FILTER(Materials_List[Specific Gravities],('SSD &amp; Batch values'!B20=Materials_List[Classes])*('SSD &amp; Batch values'!C20=Materials_List[Types])*('SSD &amp; Batch values'!D20=Materials_List[Names]),""))))</f>
        <v/>
      </c>
    </row>
    <row r="7" spans="1:3" x14ac:dyDescent="0.3">
      <c r="B7" t="str" cm="1">
        <f t="array" ref="B7">_xlfn.TOROW(_xlfn.UNIQUE((_xlfn._xlws.FILTER(Materials_List[Specific Gravities],('SSD &amp; Batch values'!B21=Materials_List[Classes])*('SSD &amp; Batch values'!C21=Materials_List[Types])*('SSD &amp; Batch values'!D21=Materials_List[Names]),""))))</f>
        <v/>
      </c>
    </row>
    <row r="8" spans="1:3" x14ac:dyDescent="0.3">
      <c r="B8" t="str" cm="1">
        <f t="array" ref="B8">_xlfn.TOROW(_xlfn.UNIQUE((_xlfn._xlws.FILTER(Materials_List[Specific Gravities],('SSD &amp; Batch values'!B22=Materials_List[Classes])*('SSD &amp; Batch values'!C22=Materials_List[Types])*('SSD &amp; Batch values'!D22=Materials_List[Names]),""))))</f>
        <v/>
      </c>
    </row>
    <row r="9" spans="1:3" x14ac:dyDescent="0.3">
      <c r="B9" cm="1">
        <f t="array" ref="B9">_xlfn.TOROW(_xlfn.UNIQUE((_xlfn._xlws.FILTER(Materials_List[Specific Gravities],('SSD &amp; Batch values'!B23=Materials_List[Classes])*('SSD &amp; Batch values'!C23=Materials_List[Types])*('SSD &amp; Batch values'!D23=Materials_List[Names]),""))))</f>
        <v>2.6</v>
      </c>
    </row>
    <row r="10" spans="1:3" x14ac:dyDescent="0.3">
      <c r="B10" t="str" cm="1">
        <f t="array" ref="B10">_xlfn.TOROW(_xlfn.UNIQUE((_xlfn._xlws.FILTER(Materials_List[Specific Gravities],('SSD &amp; Batch values'!B24=Materials_List[Classes])*('SSD &amp; Batch values'!C24=Materials_List[Types])*('SSD &amp; Batch values'!D24=Materials_List[Names]),""))))</f>
        <v/>
      </c>
    </row>
    <row r="11" spans="1:3" x14ac:dyDescent="0.3">
      <c r="B11" cm="1">
        <f t="array" ref="B11:C11">_xlfn.TOROW(_xlfn.UNIQUE((_xlfn._xlws.FILTER(Materials_List[Specific Gravities],('SSD &amp; Batch values'!B25=Materials_List[Classes])*('SSD &amp; Batch values'!C25=Materials_List[Types])*('SSD &amp; Batch values'!D25=Materials_List[Names]),""))))</f>
        <v>2.66</v>
      </c>
      <c r="C11">
        <v>2.69</v>
      </c>
    </row>
    <row r="12" spans="1:3" x14ac:dyDescent="0.3">
      <c r="B12" cm="1">
        <f t="array" ref="B12">_xlfn.TOROW(_xlfn.UNIQUE((_xlfn._xlws.FILTER(Materials_List[Specific Gravities],('SSD &amp; Batch values'!B26=Materials_List[Classes])*('SSD &amp; Batch values'!C26=Materials_List[Types])*('SSD &amp; Batch values'!D26=Materials_List[Names]),""))))</f>
        <v>2.66</v>
      </c>
    </row>
    <row r="13" spans="1:3" x14ac:dyDescent="0.3">
      <c r="B13" t="str" cm="1">
        <f t="array" ref="B13">_xlfn.TOROW(_xlfn.UNIQUE((_xlfn._xlws.FILTER(Materials_List[Specific Gravities],('SSD &amp; Batch values'!B27=Materials_List[Classes])*('SSD &amp; Batch values'!C27=Materials_List[Types])*('SSD &amp; Batch values'!D27=Materials_List[Names]),""))))</f>
        <v/>
      </c>
    </row>
    <row r="14" spans="1:3" x14ac:dyDescent="0.3">
      <c r="B14" t="str" cm="1">
        <f t="array" ref="B14">_xlfn.TOROW(_xlfn.UNIQUE((_xlfn._xlws.FILTER(Materials_List[Specific Gravities],('SSD &amp; Batch values'!B28=Materials_List[Classes])*('SSD &amp; Batch values'!C28=Materials_List[Types])*('SSD &amp; Batch values'!D28=Materials_List[Names]),""))))</f>
        <v/>
      </c>
    </row>
    <row r="15" spans="1:3" x14ac:dyDescent="0.3">
      <c r="B15" cm="1">
        <f t="array" ref="B15">_xlfn.TOROW(_xlfn.UNIQUE((_xlfn._xlws.FILTER(Materials_List[Specific Gravities],('SSD &amp; Batch values'!B29=Materials_List[Classes])*('SSD &amp; Batch values'!C29=Materials_List[Types])*('SSD &amp; Batch values'!D29=Materials_List[Names]),""))))</f>
        <v>1</v>
      </c>
    </row>
    <row r="16" spans="1:3" x14ac:dyDescent="0.3">
      <c r="B16" t="str" cm="1">
        <f t="array" ref="B16">_xlfn.TOROW(_xlfn.UNIQUE((_xlfn._xlws.FILTER(Materials_List[Specific Gravities],('SSD &amp; Batch values'!B30=Materials_List[Classes])*('SSD &amp; Batch values'!C30=Materials_List[Types])*('SSD &amp; Batch values'!D30=Materials_List[Names]),""))))</f>
        <v/>
      </c>
    </row>
    <row r="17" spans="2:2" x14ac:dyDescent="0.3">
      <c r="B17" t="str" cm="1">
        <f t="array" ref="B17">_xlfn.TOROW(_xlfn.UNIQUE((_xlfn._xlws.FILTER(Materials_List[Specific Gravities],('SSD &amp; Batch values'!B31=Materials_List[Classes])*('SSD &amp; Batch values'!C31=Materials_List[Types])*('SSD &amp; Batch values'!D31=Materials_List[Names]),""))))</f>
        <v/>
      </c>
    </row>
    <row r="18" spans="2:2" x14ac:dyDescent="0.3">
      <c r="B18" t="str" cm="1">
        <f t="array" ref="B18">_xlfn.TOROW(_xlfn.UNIQUE((_xlfn._xlws.FILTER(Materials_List[Specific Gravities],('SSD &amp; Batch values'!B32=Materials_List[Classes])*('SSD &amp; Batch values'!C32=Materials_List[Types])*('SSD &amp; Batch values'!D32=Materials_List[Names]),""))))</f>
        <v/>
      </c>
    </row>
    <row r="19" spans="2:2" x14ac:dyDescent="0.3">
      <c r="B19" t="str" cm="1">
        <f t="array" ref="B19">_xlfn.TOROW(_xlfn.UNIQUE((_xlfn._xlws.FILTER(Materials_List[Specific Gravities],('SSD &amp; Batch values'!B33=Materials_List[Classes])*('SSD &amp; Batch values'!C33=Materials_List[Types])*('SSD &amp; Batch values'!D33=Materials_List[Names]),""))))</f>
        <v/>
      </c>
    </row>
    <row r="20" spans="2:2" x14ac:dyDescent="0.3">
      <c r="B20" t="str" cm="1">
        <f t="array" ref="B20">_xlfn.TOROW(_xlfn.UNIQUE((_xlfn._xlws.FILTER(Materials_List[Specific Gravities],('SSD &amp; Batch values'!B34=Materials_List[Classes])*('SSD &amp; Batch values'!C34=Materials_List[Types])*('SSD &amp; Batch values'!D34=Materials_List[Names]),""))))</f>
        <v/>
      </c>
    </row>
    <row r="21" spans="2:2" x14ac:dyDescent="0.3">
      <c r="B21" cm="1">
        <f t="array" ref="B21">_xlfn.TOROW(_xlfn.UNIQUE((_xlfn._xlws.FILTER(Materials_List[Specific Gravities],('SSD &amp; Batch values'!B35=Materials_List[Classes])*('SSD &amp; Batch values'!C35=Materials_List[Types])*('SSD &amp; Batch values'!D35=Materials_List[Names]),""))))</f>
        <v>1</v>
      </c>
    </row>
    <row r="22" spans="2:2" x14ac:dyDescent="0.3">
      <c r="B22" t="str" cm="1">
        <f t="array" ref="B22">_xlfn.TOROW(_xlfn.UNIQUE((_xlfn._xlws.FILTER(Materials_List[Specific Gravities],('SSD &amp; Batch values'!B36=Materials_List[Classes])*('SSD &amp; Batch values'!C36=Materials_List[Types])*('SSD &amp; Batch values'!D36=Materials_List[Names]),""))))</f>
        <v/>
      </c>
    </row>
    <row r="23" spans="2:2" x14ac:dyDescent="0.3">
      <c r="B23" cm="1">
        <f t="array" ref="B23">_xlfn.TOROW(_xlfn.UNIQUE((_xlfn._xlws.FILTER(Materials_List[Specific Gravities],('SSD &amp; Batch values'!B37=Materials_List[Classes])*('SSD &amp; Batch values'!C37=Materials_List[Types])*('SSD &amp; Batch values'!D37=Materials_List[Names]),""))))</f>
        <v>1</v>
      </c>
    </row>
    <row r="24" spans="2:2" x14ac:dyDescent="0.3">
      <c r="B24" cm="1">
        <f t="array" ref="B24">_xlfn.TOROW(_xlfn.UNIQUE((_xlfn._xlws.FILTER(Materials_List[Specific Gravities],('SSD &amp; Batch values'!B38=Materials_List[Classes])*('SSD &amp; Batch values'!C38=Materials_List[Types])*('SSD &amp; Batch values'!D38=Materials_List[Names]),""))))</f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U113"/>
  <sheetViews>
    <sheetView showGridLines="0" tabSelected="1" zoomScale="71" zoomScaleNormal="100" workbookViewId="0">
      <selection activeCell="F8" sqref="F8"/>
    </sheetView>
  </sheetViews>
  <sheetFormatPr defaultColWidth="9.109375" defaultRowHeight="18" x14ac:dyDescent="0.3"/>
  <cols>
    <col min="1" max="1" width="11.109375" style="10" bestFit="1" customWidth="1"/>
    <col min="2" max="2" width="28.5546875" style="7" bestFit="1" customWidth="1"/>
    <col min="3" max="3" width="32.44140625" style="7" bestFit="1" customWidth="1"/>
    <col min="4" max="4" width="34.88671875" style="7" bestFit="1" customWidth="1"/>
    <col min="5" max="5" width="30.33203125" style="7" bestFit="1" customWidth="1"/>
    <col min="6" max="6" width="37.33203125" style="7" bestFit="1" customWidth="1"/>
    <col min="7" max="7" width="34.88671875" style="7" bestFit="1" customWidth="1"/>
    <col min="8" max="8" width="37.33203125" style="7" customWidth="1"/>
    <col min="9" max="9" width="16.44140625" style="7" customWidth="1"/>
    <col min="10" max="10" width="17.5546875" style="7" customWidth="1"/>
    <col min="11" max="11" width="16.109375" style="7" customWidth="1"/>
    <col min="12" max="12" width="13.88671875" style="7" customWidth="1"/>
    <col min="13" max="13" width="15.33203125" style="7" bestFit="1" customWidth="1"/>
    <col min="14" max="14" width="12.33203125" style="7" bestFit="1" customWidth="1"/>
    <col min="15" max="15" width="14.88671875" style="7" customWidth="1"/>
    <col min="16" max="16" width="12.88671875" style="14" customWidth="1"/>
    <col min="17" max="17" width="9.33203125" style="7" customWidth="1"/>
    <col min="18" max="18" width="9.109375" style="7"/>
    <col min="19" max="19" width="21" style="7" bestFit="1" customWidth="1"/>
    <col min="20" max="16384" width="9.109375" style="7"/>
  </cols>
  <sheetData>
    <row r="1" spans="1:19" ht="18.600000000000001" thickBot="1" x14ac:dyDescent="0.35"/>
    <row r="2" spans="1:19" ht="18.75" customHeight="1" x14ac:dyDescent="0.3">
      <c r="C2" s="191" t="s">
        <v>85</v>
      </c>
      <c r="D2" s="192"/>
      <c r="E2" s="192"/>
      <c r="F2" s="193"/>
    </row>
    <row r="3" spans="1:19" ht="18.75" customHeight="1" thickBot="1" x14ac:dyDescent="0.35">
      <c r="C3" s="194"/>
      <c r="D3" s="195"/>
      <c r="E3" s="195"/>
      <c r="F3" s="196"/>
    </row>
    <row r="4" spans="1:19" ht="18.75" customHeight="1" thickBot="1" x14ac:dyDescent="0.35">
      <c r="C4" s="197" t="s">
        <v>86</v>
      </c>
      <c r="D4" s="198"/>
      <c r="E4" s="198"/>
      <c r="F4" s="199"/>
    </row>
    <row r="5" spans="1:19" ht="19.5" customHeight="1" thickBot="1" x14ac:dyDescent="0.35">
      <c r="C5" s="200"/>
      <c r="D5" s="201"/>
      <c r="E5" s="201"/>
      <c r="F5" s="202"/>
      <c r="H5" s="167" t="s">
        <v>71</v>
      </c>
      <c r="I5" s="170">
        <f>IF(SUM(H16:H22)=0, "",SUM(H16:H22))</f>
        <v>700</v>
      </c>
    </row>
    <row r="6" spans="1:19" ht="18.600000000000001" thickBot="1" x14ac:dyDescent="0.35">
      <c r="C6" s="203" t="s">
        <v>453</v>
      </c>
      <c r="D6" s="204"/>
      <c r="E6" s="204"/>
      <c r="F6" s="205"/>
      <c r="H6" s="168" t="s">
        <v>69</v>
      </c>
      <c r="I6" s="171">
        <f>IFERROR(I5/94, "")</f>
        <v>7.4468085106382977</v>
      </c>
      <c r="M6" s="1"/>
    </row>
    <row r="7" spans="1:19" ht="18.600000000000001" thickBot="1" x14ac:dyDescent="0.35">
      <c r="H7" s="169" t="s">
        <v>70</v>
      </c>
      <c r="I7" s="172">
        <f>IF(SUM(I16:I38)+F9*27=0,"", SUM(I16:I38)+F9*27)</f>
        <v>26.989366970060779</v>
      </c>
    </row>
    <row r="8" spans="1:19" ht="18.600000000000001" thickBot="1" x14ac:dyDescent="0.35">
      <c r="C8" s="161" t="s">
        <v>444</v>
      </c>
      <c r="D8" s="175" t="s">
        <v>459</v>
      </c>
      <c r="E8" s="157" t="s">
        <v>445</v>
      </c>
      <c r="F8" s="158" t="s">
        <v>448</v>
      </c>
      <c r="H8" s="167" t="s">
        <v>458</v>
      </c>
      <c r="I8" s="179">
        <f>IFERROR(SUM(H19:H24)/I5,"")</f>
        <v>0.21428571428571427</v>
      </c>
    </row>
    <row r="9" spans="1:19" ht="18.600000000000001" thickBot="1" x14ac:dyDescent="0.35">
      <c r="C9" s="159" t="s">
        <v>419</v>
      </c>
      <c r="D9" s="181" t="s">
        <v>460</v>
      </c>
      <c r="E9" s="88" t="s">
        <v>454</v>
      </c>
      <c r="F9" s="183">
        <v>0.05</v>
      </c>
      <c r="H9" s="168" t="s">
        <v>73</v>
      </c>
      <c r="I9" s="180">
        <f>IFERROR(SUM(I16:I24,I29:I33,I37:I38)/I7,"")</f>
        <v>0.32459958408561773</v>
      </c>
    </row>
    <row r="10" spans="1:19" ht="18.600000000000001" thickBot="1" x14ac:dyDescent="0.35">
      <c r="C10" s="160" t="s">
        <v>17</v>
      </c>
      <c r="D10" s="182">
        <v>0.43</v>
      </c>
      <c r="E10" s="160" t="s">
        <v>455</v>
      </c>
      <c r="F10" s="182">
        <v>4.5</v>
      </c>
      <c r="H10" s="169" t="s">
        <v>72</v>
      </c>
      <c r="I10" s="172">
        <f>IFERROR(SUM(H16:H38)/I7, "")</f>
        <v>142.80716566177841</v>
      </c>
      <c r="P10" s="7"/>
    </row>
    <row r="11" spans="1:19" x14ac:dyDescent="0.3">
      <c r="G11" s="7" t="s">
        <v>435</v>
      </c>
      <c r="O11" s="162"/>
      <c r="P11" s="7"/>
    </row>
    <row r="12" spans="1:19" ht="18.600000000000001" thickBot="1" x14ac:dyDescent="0.35">
      <c r="G12" s="7" t="s">
        <v>436</v>
      </c>
    </row>
    <row r="13" spans="1:19" x14ac:dyDescent="0.3">
      <c r="C13" s="214" t="s">
        <v>427</v>
      </c>
      <c r="D13" s="215"/>
      <c r="E13" s="216"/>
      <c r="F13" s="7" t="s">
        <v>450</v>
      </c>
      <c r="G13" s="206" t="s">
        <v>87</v>
      </c>
      <c r="H13" s="7" t="s">
        <v>438</v>
      </c>
    </row>
    <row r="14" spans="1:19" ht="18.600000000000001" thickBot="1" x14ac:dyDescent="0.35">
      <c r="A14" s="10" t="s">
        <v>405</v>
      </c>
      <c r="C14" s="217"/>
      <c r="D14" s="218"/>
      <c r="E14" s="219"/>
      <c r="F14" s="7" t="s">
        <v>431</v>
      </c>
      <c r="G14" s="207"/>
      <c r="H14" s="7" t="s">
        <v>437</v>
      </c>
      <c r="L14" s="1"/>
      <c r="P14" s="7"/>
    </row>
    <row r="15" spans="1:19" ht="18.600000000000001" thickBot="1" x14ac:dyDescent="0.35">
      <c r="B15" s="41" t="s">
        <v>58</v>
      </c>
      <c r="C15" s="129" t="s">
        <v>57</v>
      </c>
      <c r="D15" s="136" t="s">
        <v>56</v>
      </c>
      <c r="E15" s="144" t="s">
        <v>59</v>
      </c>
      <c r="F15" s="88" t="s">
        <v>430</v>
      </c>
      <c r="G15" s="148" t="s">
        <v>54</v>
      </c>
      <c r="H15" s="147" t="s">
        <v>439</v>
      </c>
      <c r="I15" s="124" t="s">
        <v>78</v>
      </c>
      <c r="J15" s="123" t="s">
        <v>82</v>
      </c>
      <c r="L15" s="1"/>
      <c r="P15" s="7"/>
      <c r="S15" s="9"/>
    </row>
    <row r="16" spans="1:19" x14ac:dyDescent="0.3">
      <c r="B16" s="50" t="s">
        <v>20</v>
      </c>
      <c r="C16" s="130" t="s">
        <v>273</v>
      </c>
      <c r="D16" s="137" t="s">
        <v>47</v>
      </c>
      <c r="E16" s="113">
        <v>3.15</v>
      </c>
      <c r="F16" s="149">
        <v>600</v>
      </c>
      <c r="G16" s="113" t="s">
        <v>11</v>
      </c>
      <c r="H16" s="185">
        <f>IF(SUM(F16:F18)=0,"",SUM(F16:F18))</f>
        <v>600</v>
      </c>
      <c r="I16" s="125">
        <f>IFERROR(F16/E16/62.424,"")</f>
        <v>3.0513294642475728</v>
      </c>
      <c r="J16" s="188">
        <f>IFERROR(SUM(I16:I18)/I7*100,"")</f>
        <v>11.305672591848499</v>
      </c>
      <c r="L16" s="1"/>
      <c r="P16" s="7"/>
      <c r="S16" s="8"/>
    </row>
    <row r="17" spans="2:19" x14ac:dyDescent="0.3">
      <c r="B17" s="22" t="s">
        <v>20</v>
      </c>
      <c r="C17" s="131"/>
      <c r="D17" s="138"/>
      <c r="E17" s="114"/>
      <c r="F17" s="150"/>
      <c r="G17" s="114"/>
      <c r="H17" s="186"/>
      <c r="I17" s="126" t="str">
        <f t="shared" ref="I17:I28" si="0">IFERROR(F17/E17/62.424,"")</f>
        <v/>
      </c>
      <c r="J17" s="189"/>
      <c r="L17" s="1"/>
      <c r="P17" s="7"/>
      <c r="S17" s="8"/>
    </row>
    <row r="18" spans="2:19" ht="18.600000000000001" thickBot="1" x14ac:dyDescent="0.35">
      <c r="B18" s="23" t="s">
        <v>20</v>
      </c>
      <c r="C18" s="132"/>
      <c r="D18" s="139"/>
      <c r="E18" s="115"/>
      <c r="F18" s="151"/>
      <c r="G18" s="115"/>
      <c r="H18" s="187"/>
      <c r="I18" s="127" t="str">
        <f t="shared" si="0"/>
        <v/>
      </c>
      <c r="J18" s="190"/>
      <c r="L18" s="1"/>
      <c r="P18" s="7"/>
      <c r="S18" s="8"/>
    </row>
    <row r="19" spans="2:19" x14ac:dyDescent="0.3">
      <c r="B19" s="50" t="s">
        <v>21</v>
      </c>
      <c r="C19" s="130" t="s">
        <v>75</v>
      </c>
      <c r="D19" s="137" t="s">
        <v>51</v>
      </c>
      <c r="E19" s="113">
        <v>2.95</v>
      </c>
      <c r="F19" s="149">
        <v>100</v>
      </c>
      <c r="G19" s="113" t="s">
        <v>11</v>
      </c>
      <c r="H19" s="185">
        <f>IF(SUM(F19:F22)=0,"", SUM(F19:F22))</f>
        <v>100</v>
      </c>
      <c r="I19" s="125">
        <f t="shared" si="0"/>
        <v>0.54303320973897473</v>
      </c>
      <c r="J19" s="188">
        <f>IFERROR(SUM(I19:I22)/I7*100,"")</f>
        <v>2.0120264782103257</v>
      </c>
      <c r="L19" s="1"/>
    </row>
    <row r="20" spans="2:19" x14ac:dyDescent="0.3">
      <c r="B20" s="22" t="s">
        <v>21</v>
      </c>
      <c r="C20" s="131"/>
      <c r="D20" s="138"/>
      <c r="E20" s="114"/>
      <c r="F20" s="150"/>
      <c r="G20" s="114"/>
      <c r="H20" s="186"/>
      <c r="I20" s="126" t="str">
        <f t="shared" si="0"/>
        <v/>
      </c>
      <c r="J20" s="189"/>
      <c r="L20" s="1"/>
    </row>
    <row r="21" spans="2:19" x14ac:dyDescent="0.3">
      <c r="B21" s="22" t="s">
        <v>21</v>
      </c>
      <c r="C21" s="131"/>
      <c r="D21" s="138"/>
      <c r="E21" s="114"/>
      <c r="F21" s="150"/>
      <c r="G21" s="114"/>
      <c r="H21" s="186"/>
      <c r="I21" s="126" t="str">
        <f t="shared" si="0"/>
        <v/>
      </c>
      <c r="J21" s="189"/>
      <c r="L21" s="1"/>
    </row>
    <row r="22" spans="2:19" ht="18.600000000000001" thickBot="1" x14ac:dyDescent="0.35">
      <c r="B22" s="23" t="s">
        <v>21</v>
      </c>
      <c r="C22" s="132"/>
      <c r="D22" s="139"/>
      <c r="E22" s="115"/>
      <c r="F22" s="151"/>
      <c r="G22" s="115"/>
      <c r="H22" s="187"/>
      <c r="I22" s="127" t="str">
        <f t="shared" si="0"/>
        <v/>
      </c>
      <c r="J22" s="190"/>
      <c r="L22" s="1"/>
    </row>
    <row r="23" spans="2:19" ht="18.600000000000001" thickBot="1" x14ac:dyDescent="0.35">
      <c r="B23" s="50" t="s">
        <v>52</v>
      </c>
      <c r="C23" s="130" t="s">
        <v>294</v>
      </c>
      <c r="D23" s="137" t="s">
        <v>368</v>
      </c>
      <c r="E23" s="113">
        <v>2.6</v>
      </c>
      <c r="F23" s="149">
        <v>50</v>
      </c>
      <c r="G23" s="113" t="s">
        <v>11</v>
      </c>
      <c r="H23" s="185">
        <f>IF(SUM(F23:F24)=0,"",SUM(F23:F24))</f>
        <v>50</v>
      </c>
      <c r="I23" s="125">
        <f t="shared" si="0"/>
        <v>0.30806691706345685</v>
      </c>
      <c r="J23" s="188">
        <f>IFERROR(SUM(I23:I24)/I7*100,"")</f>
        <v>1.1414380982154733</v>
      </c>
      <c r="L23" s="1"/>
      <c r="O23" s="1"/>
      <c r="P23" s="12"/>
    </row>
    <row r="24" spans="2:19" ht="18.600000000000001" thickBot="1" x14ac:dyDescent="0.35">
      <c r="B24" s="23" t="s">
        <v>52</v>
      </c>
      <c r="C24" s="132"/>
      <c r="D24" s="139"/>
      <c r="E24" s="115"/>
      <c r="F24" s="151"/>
      <c r="G24" s="115"/>
      <c r="H24" s="187"/>
      <c r="I24" s="127" t="str">
        <f t="shared" si="0"/>
        <v/>
      </c>
      <c r="J24" s="190"/>
      <c r="K24" s="88" t="s">
        <v>16</v>
      </c>
      <c r="L24" s="89" t="s">
        <v>83</v>
      </c>
      <c r="O24" s="1"/>
      <c r="P24" s="12"/>
    </row>
    <row r="25" spans="2:19" x14ac:dyDescent="0.3">
      <c r="B25" s="50" t="s">
        <v>49</v>
      </c>
      <c r="C25" s="130" t="s">
        <v>23</v>
      </c>
      <c r="D25" s="137" t="s">
        <v>149</v>
      </c>
      <c r="E25" s="113">
        <v>2.66</v>
      </c>
      <c r="F25" s="149">
        <v>1550</v>
      </c>
      <c r="G25" s="113" t="s">
        <v>11</v>
      </c>
      <c r="H25" s="185">
        <f>IF(SUM(F25:F28)=0,"",SUM(F25:F28))</f>
        <v>2800</v>
      </c>
      <c r="I25" s="125">
        <f t="shared" si="0"/>
        <v>9.3346592162836917</v>
      </c>
      <c r="J25" s="188">
        <f>IFERROR(SUM(I25:I28)/I7*100,"")</f>
        <v>62.478716954952219</v>
      </c>
      <c r="K25" s="105">
        <v>0.04</v>
      </c>
      <c r="L25" s="106">
        <v>0.02</v>
      </c>
      <c r="O25" s="1"/>
      <c r="P25" s="16"/>
    </row>
    <row r="26" spans="2:19" x14ac:dyDescent="0.3">
      <c r="B26" s="22" t="s">
        <v>49</v>
      </c>
      <c r="C26" s="131" t="s">
        <v>22</v>
      </c>
      <c r="D26" s="138" t="s">
        <v>191</v>
      </c>
      <c r="E26" s="114">
        <v>2.66</v>
      </c>
      <c r="F26" s="150">
        <v>1250</v>
      </c>
      <c r="G26" s="114" t="s">
        <v>11</v>
      </c>
      <c r="H26" s="186"/>
      <c r="I26" s="126">
        <f t="shared" si="0"/>
        <v>7.5279509808739453</v>
      </c>
      <c r="J26" s="189"/>
      <c r="K26" s="107">
        <v>0.03</v>
      </c>
      <c r="L26" s="108">
        <v>1.4999999999999999E-2</v>
      </c>
      <c r="O26" s="1"/>
      <c r="P26" s="16"/>
    </row>
    <row r="27" spans="2:19" x14ac:dyDescent="0.3">
      <c r="B27" s="22" t="s">
        <v>49</v>
      </c>
      <c r="C27" s="131"/>
      <c r="D27" s="138"/>
      <c r="E27" s="114"/>
      <c r="F27" s="150"/>
      <c r="G27" s="114"/>
      <c r="H27" s="186"/>
      <c r="I27" s="126" t="str">
        <f t="shared" si="0"/>
        <v/>
      </c>
      <c r="J27" s="189"/>
      <c r="K27" s="107"/>
      <c r="L27" s="108"/>
      <c r="O27" s="1"/>
      <c r="P27" s="16"/>
    </row>
    <row r="28" spans="2:19" ht="18.600000000000001" thickBot="1" x14ac:dyDescent="0.35">
      <c r="B28" s="23" t="s">
        <v>49</v>
      </c>
      <c r="C28" s="132"/>
      <c r="D28" s="139"/>
      <c r="E28" s="115"/>
      <c r="F28" s="151"/>
      <c r="G28" s="115"/>
      <c r="H28" s="187"/>
      <c r="I28" s="127" t="str">
        <f t="shared" si="0"/>
        <v/>
      </c>
      <c r="J28" s="190"/>
      <c r="K28" s="107"/>
      <c r="L28" s="108"/>
      <c r="O28" s="1"/>
      <c r="P28" s="16"/>
    </row>
    <row r="29" spans="2:19" ht="18.600000000000001" thickBot="1" x14ac:dyDescent="0.35">
      <c r="B29" s="52" t="s">
        <v>60</v>
      </c>
      <c r="C29" s="130" t="s">
        <v>389</v>
      </c>
      <c r="D29" s="137" t="s">
        <v>388</v>
      </c>
      <c r="E29" s="113">
        <v>1</v>
      </c>
      <c r="F29" s="152">
        <v>5</v>
      </c>
      <c r="G29" s="116" t="s">
        <v>12</v>
      </c>
      <c r="H29" s="185">
        <f>IFERROR((I29*E29+I30*E30+I31*E31+I32*E32+I33*E33+I34*E34)*62.424,"")</f>
        <v>2.2749999999999999</v>
      </c>
      <c r="I29" s="127">
        <f t="shared" ref="I29:I34" si="1">IF(F29="",0,F29*IF(D29="CarbonCure",0,IF(G29="oz/cwt CM",$I$5/100,IF(G29="oz/cwt C",$H$16/100,IF(G29="oz/CY",1,IF(G29="% of CM",$I$5/100/0.065,IF(G29="% of C",$H$16/100/0.065))))))*0.065/E29/62.424)</f>
        <v>3.6444316288606948E-2</v>
      </c>
      <c r="J29" s="188">
        <f>IFERROR(SUM(I29:I34)/I7*100,"")</f>
        <v>0.1350321270188905</v>
      </c>
      <c r="K29" s="107"/>
      <c r="L29" s="108"/>
      <c r="O29" s="1"/>
      <c r="P29" s="12"/>
    </row>
    <row r="30" spans="2:19" ht="18.600000000000001" thickBot="1" x14ac:dyDescent="0.35">
      <c r="B30" s="40" t="s">
        <v>60</v>
      </c>
      <c r="C30" s="130"/>
      <c r="D30" s="137"/>
      <c r="E30" s="113"/>
      <c r="F30" s="153"/>
      <c r="G30" s="117"/>
      <c r="H30" s="186"/>
      <c r="I30" s="127">
        <f t="shared" si="1"/>
        <v>0</v>
      </c>
      <c r="J30" s="189"/>
      <c r="K30" s="107"/>
      <c r="L30" s="108"/>
      <c r="O30" s="1"/>
      <c r="P30" s="13"/>
    </row>
    <row r="31" spans="2:19" ht="18.600000000000001" thickBot="1" x14ac:dyDescent="0.35">
      <c r="B31" s="40" t="s">
        <v>60</v>
      </c>
      <c r="C31" s="130"/>
      <c r="D31" s="137"/>
      <c r="E31" s="113"/>
      <c r="F31" s="153"/>
      <c r="G31" s="117"/>
      <c r="H31" s="186"/>
      <c r="I31" s="127">
        <f t="shared" si="1"/>
        <v>0</v>
      </c>
      <c r="J31" s="189"/>
      <c r="K31" s="107"/>
      <c r="L31" s="108"/>
      <c r="O31" s="1"/>
      <c r="P31" s="13"/>
    </row>
    <row r="32" spans="2:19" ht="18.600000000000001" thickBot="1" x14ac:dyDescent="0.35">
      <c r="B32" s="40" t="s">
        <v>60</v>
      </c>
      <c r="C32" s="130"/>
      <c r="D32" s="137"/>
      <c r="E32" s="113"/>
      <c r="F32" s="153"/>
      <c r="G32" s="117"/>
      <c r="H32" s="186"/>
      <c r="I32" s="127">
        <f t="shared" si="1"/>
        <v>0</v>
      </c>
      <c r="J32" s="189"/>
      <c r="K32" s="107"/>
      <c r="L32" s="108"/>
      <c r="O32" s="1"/>
    </row>
    <row r="33" spans="1:21" ht="18.600000000000001" thickBot="1" x14ac:dyDescent="0.35">
      <c r="B33" s="40" t="s">
        <v>60</v>
      </c>
      <c r="C33" s="130"/>
      <c r="D33" s="137"/>
      <c r="E33" s="113"/>
      <c r="F33" s="153"/>
      <c r="G33" s="117"/>
      <c r="H33" s="186"/>
      <c r="I33" s="127">
        <f t="shared" si="1"/>
        <v>0</v>
      </c>
      <c r="J33" s="189"/>
      <c r="K33" s="109"/>
      <c r="L33" s="110"/>
      <c r="O33" s="1"/>
    </row>
    <row r="34" spans="1:21" ht="18.600000000000001" thickBot="1" x14ac:dyDescent="0.35">
      <c r="B34" s="53" t="s">
        <v>60</v>
      </c>
      <c r="C34" s="130"/>
      <c r="D34" s="137"/>
      <c r="E34" s="113"/>
      <c r="F34" s="154"/>
      <c r="G34" s="117"/>
      <c r="H34" s="187"/>
      <c r="I34" s="127">
        <f t="shared" si="1"/>
        <v>0</v>
      </c>
      <c r="J34" s="190"/>
      <c r="O34" s="1"/>
    </row>
    <row r="35" spans="1:21" x14ac:dyDescent="0.3">
      <c r="B35" s="52" t="s">
        <v>63</v>
      </c>
      <c r="C35" s="133" t="s">
        <v>307</v>
      </c>
      <c r="D35" s="140" t="s">
        <v>353</v>
      </c>
      <c r="E35" s="129">
        <v>1</v>
      </c>
      <c r="F35" s="149">
        <v>1</v>
      </c>
      <c r="G35" s="114" t="s">
        <v>11</v>
      </c>
      <c r="H35" s="185">
        <f>IF(SUM(F35:F36)=0,"",SUM(F35:F36))</f>
        <v>1</v>
      </c>
      <c r="I35" s="125">
        <f>IFERROR(F35/E35/62.424,"")</f>
        <v>1.6019479687299755E-2</v>
      </c>
      <c r="J35" s="188">
        <f>IFERROR(SUM(I35:I36)/I7*100,"")</f>
        <v>5.9354781107204602E-2</v>
      </c>
      <c r="O35" s="1"/>
    </row>
    <row r="36" spans="1:21" ht="18.600000000000001" thickBot="1" x14ac:dyDescent="0.35">
      <c r="B36" s="53" t="s">
        <v>63</v>
      </c>
      <c r="C36" s="134"/>
      <c r="D36" s="141"/>
      <c r="E36" s="145"/>
      <c r="F36" s="151"/>
      <c r="G36" s="114"/>
      <c r="H36" s="187"/>
      <c r="I36" s="127" t="str">
        <f>IFERROR(F36/E36/62.424,"")</f>
        <v/>
      </c>
      <c r="J36" s="190"/>
      <c r="O36" s="1"/>
    </row>
    <row r="37" spans="1:21" ht="18.600000000000001" thickBot="1" x14ac:dyDescent="0.35">
      <c r="B37" s="44" t="s">
        <v>13</v>
      </c>
      <c r="C37" s="135" t="s">
        <v>14</v>
      </c>
      <c r="D37" s="142" t="s">
        <v>67</v>
      </c>
      <c r="E37" s="146">
        <v>1</v>
      </c>
      <c r="F37" s="155">
        <f>IFERROR(H37*(1-K38),"")</f>
        <v>270.90000000000003</v>
      </c>
      <c r="G37" s="114" t="s">
        <v>11</v>
      </c>
      <c r="H37" s="186">
        <f>IFERROR(D10*I5-(I29*E29*K29+I30*E30*K30+I31*E31*K31+I32*E32*K32+I33*E33*K33)*62.424,"")</f>
        <v>301</v>
      </c>
      <c r="I37" s="128">
        <f>IFERROR(F37/E37/62.424,"")</f>
        <v>4.3396770472895048</v>
      </c>
      <c r="J37" s="189">
        <f>IFERROR(SUM(I37:I38)/I7*100,"")</f>
        <v>17.86578911326859</v>
      </c>
      <c r="K37" s="88" t="s">
        <v>64</v>
      </c>
      <c r="O37" s="1"/>
    </row>
    <row r="38" spans="1:21" ht="18.600000000000001" thickBot="1" x14ac:dyDescent="0.35">
      <c r="B38" s="46" t="s">
        <v>13</v>
      </c>
      <c r="C38" s="132" t="s">
        <v>66</v>
      </c>
      <c r="D38" s="143" t="s">
        <v>68</v>
      </c>
      <c r="E38" s="115">
        <v>1</v>
      </c>
      <c r="F38" s="156">
        <f>IFERROR(H37*K38,"")</f>
        <v>30.1</v>
      </c>
      <c r="G38" s="115" t="s">
        <v>11</v>
      </c>
      <c r="H38" s="187"/>
      <c r="I38" s="127">
        <f>IFERROR(F38/E38/62.424,"")</f>
        <v>0.4821863385877227</v>
      </c>
      <c r="J38" s="190"/>
      <c r="K38" s="101">
        <v>0.1</v>
      </c>
      <c r="N38" s="15"/>
      <c r="O38" s="1"/>
    </row>
    <row r="39" spans="1:21" ht="18.600000000000001" thickBot="1" x14ac:dyDescent="0.35">
      <c r="A39" s="10" t="s">
        <v>412</v>
      </c>
      <c r="O39" s="1"/>
      <c r="Q39" s="10"/>
      <c r="R39" s="11"/>
    </row>
    <row r="40" spans="1:21" ht="18.600000000000001" thickBot="1" x14ac:dyDescent="0.35">
      <c r="B40" s="41" t="s">
        <v>27</v>
      </c>
      <c r="C40" s="73" t="s">
        <v>44</v>
      </c>
      <c r="D40" s="74" t="s">
        <v>81</v>
      </c>
      <c r="E40" s="84" t="s">
        <v>28</v>
      </c>
      <c r="F40" s="49" t="s">
        <v>80</v>
      </c>
      <c r="H40" s="220" t="s">
        <v>429</v>
      </c>
      <c r="I40" s="223" t="s">
        <v>428</v>
      </c>
      <c r="J40" s="224"/>
    </row>
    <row r="41" spans="1:21" x14ac:dyDescent="0.3">
      <c r="B41" s="118" t="s">
        <v>29</v>
      </c>
      <c r="C41" s="119" t="s">
        <v>440</v>
      </c>
      <c r="D41" s="120">
        <v>7.3000000000000001E-3</v>
      </c>
      <c r="E41" s="121"/>
      <c r="F41" s="122" t="str">
        <f>IF(E41*D41=0,"",E41*D41)</f>
        <v/>
      </c>
      <c r="H41" s="221"/>
      <c r="I41" s="225"/>
      <c r="J41" s="226"/>
    </row>
    <row r="42" spans="1:21" x14ac:dyDescent="0.3">
      <c r="B42" s="47" t="s">
        <v>29</v>
      </c>
      <c r="C42" s="26" t="s">
        <v>30</v>
      </c>
      <c r="D42" s="28">
        <v>5.8200000000000002E-2</v>
      </c>
      <c r="E42" s="85">
        <v>12</v>
      </c>
      <c r="F42" s="90">
        <f t="shared" ref="F42:F51" si="2">IF(E42*D42=0,"",E42*D42)</f>
        <v>0.69840000000000002</v>
      </c>
      <c r="H42" s="221"/>
      <c r="I42" s="225"/>
      <c r="J42" s="226"/>
    </row>
    <row r="43" spans="1:21" x14ac:dyDescent="0.3">
      <c r="B43" s="46" t="s">
        <v>29</v>
      </c>
      <c r="C43" s="29" t="s">
        <v>31</v>
      </c>
      <c r="D43" s="30">
        <v>0.1963</v>
      </c>
      <c r="E43" s="86"/>
      <c r="F43" s="82" t="str">
        <f t="shared" si="2"/>
        <v/>
      </c>
      <c r="H43" s="221"/>
      <c r="I43" s="225"/>
      <c r="J43" s="226"/>
    </row>
    <row r="44" spans="1:21" ht="18.600000000000001" thickBot="1" x14ac:dyDescent="0.35">
      <c r="B44" s="45" t="s">
        <v>441</v>
      </c>
      <c r="C44" s="29" t="s">
        <v>442</v>
      </c>
      <c r="D44" s="30">
        <v>4.5999999999999999E-3</v>
      </c>
      <c r="E44" s="86"/>
      <c r="F44" s="82" t="str">
        <f>IF(E44*D44=0,"",E44*D44)</f>
        <v/>
      </c>
      <c r="H44" s="222"/>
      <c r="I44" s="227"/>
      <c r="J44" s="228"/>
    </row>
    <row r="45" spans="1:21" x14ac:dyDescent="0.3">
      <c r="B45" s="46" t="s">
        <v>32</v>
      </c>
      <c r="C45" s="29" t="s">
        <v>33</v>
      </c>
      <c r="D45" s="30">
        <v>5.7299999999999997E-2</v>
      </c>
      <c r="E45" s="86">
        <v>3</v>
      </c>
      <c r="F45" s="82">
        <f t="shared" si="2"/>
        <v>0.1719</v>
      </c>
    </row>
    <row r="46" spans="1:21" ht="18.600000000000001" thickBot="1" x14ac:dyDescent="0.35">
      <c r="B46" s="46" t="s">
        <v>32</v>
      </c>
      <c r="C46" s="29" t="s">
        <v>34</v>
      </c>
      <c r="D46" s="30">
        <v>0.10185185185185185</v>
      </c>
      <c r="E46" s="86"/>
      <c r="F46" s="82" t="str">
        <f t="shared" si="2"/>
        <v/>
      </c>
      <c r="I46" s="162"/>
      <c r="P46" s="7"/>
    </row>
    <row r="47" spans="1:21" x14ac:dyDescent="0.3">
      <c r="B47" s="45" t="s">
        <v>35</v>
      </c>
      <c r="C47" s="29" t="s">
        <v>36</v>
      </c>
      <c r="D47" s="30">
        <v>9.8000000000000004E-2</v>
      </c>
      <c r="E47" s="86">
        <v>3</v>
      </c>
      <c r="F47" s="82">
        <f t="shared" si="2"/>
        <v>0.29400000000000004</v>
      </c>
      <c r="H47" s="244" t="s">
        <v>457</v>
      </c>
      <c r="I47" s="235">
        <f>IF(SUM(F41:F51)=0,"",SUM(F41:F51)*1.2)</f>
        <v>1.3971600000000002</v>
      </c>
      <c r="J47" s="236"/>
      <c r="P47" s="7"/>
      <c r="S47" s="17"/>
      <c r="T47" s="2"/>
      <c r="U47" s="8"/>
    </row>
    <row r="48" spans="1:21" ht="18.600000000000001" thickBot="1" x14ac:dyDescent="0.35">
      <c r="B48" s="45" t="s">
        <v>37</v>
      </c>
      <c r="C48" s="29" t="s">
        <v>36</v>
      </c>
      <c r="D48" s="30">
        <v>9.8000000000000004E-2</v>
      </c>
      <c r="E48" s="86"/>
      <c r="F48" s="82" t="str">
        <f t="shared" si="2"/>
        <v/>
      </c>
      <c r="H48" s="245"/>
      <c r="I48" s="237"/>
      <c r="J48" s="238"/>
      <c r="U48" s="8"/>
    </row>
    <row r="49" spans="1:21" ht="18.600000000000001" thickBot="1" x14ac:dyDescent="0.35">
      <c r="B49" s="45" t="s">
        <v>38</v>
      </c>
      <c r="C49" s="29" t="s">
        <v>39</v>
      </c>
      <c r="D49" s="30">
        <v>0.5</v>
      </c>
      <c r="E49" s="86"/>
      <c r="F49" s="82" t="str">
        <f t="shared" si="2"/>
        <v/>
      </c>
      <c r="U49" s="8"/>
    </row>
    <row r="50" spans="1:21" x14ac:dyDescent="0.3">
      <c r="B50" s="45" t="s">
        <v>40</v>
      </c>
      <c r="C50" s="29" t="s">
        <v>41</v>
      </c>
      <c r="D50" s="30">
        <v>0.45833333333333331</v>
      </c>
      <c r="E50" s="86"/>
      <c r="F50" s="82" t="str">
        <f t="shared" si="2"/>
        <v/>
      </c>
      <c r="H50" s="246" t="s">
        <v>462</v>
      </c>
      <c r="I50" s="239">
        <v>1.5</v>
      </c>
      <c r="J50" s="240"/>
      <c r="U50" s="8"/>
    </row>
    <row r="51" spans="1:21" ht="18.600000000000001" thickBot="1" x14ac:dyDescent="0.35">
      <c r="B51" s="46" t="s">
        <v>42</v>
      </c>
      <c r="C51" s="77" t="s">
        <v>43</v>
      </c>
      <c r="D51" s="78">
        <v>0.33300000000000002</v>
      </c>
      <c r="E51" s="87"/>
      <c r="F51" s="91" t="str">
        <f t="shared" si="2"/>
        <v/>
      </c>
      <c r="H51" s="243"/>
      <c r="I51" s="241"/>
      <c r="J51" s="242"/>
      <c r="U51" s="8"/>
    </row>
    <row r="52" spans="1:21" x14ac:dyDescent="0.3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U52" s="8"/>
    </row>
    <row r="53" spans="1:21" x14ac:dyDescent="0.3">
      <c r="B53" s="20"/>
      <c r="C53" s="4"/>
      <c r="D53" s="21"/>
      <c r="F53" s="7" t="s">
        <v>450</v>
      </c>
      <c r="U53" s="8"/>
    </row>
    <row r="54" spans="1:21" ht="18.600000000000001" thickBot="1" x14ac:dyDescent="0.35">
      <c r="A54" s="10" t="s">
        <v>411</v>
      </c>
      <c r="F54" s="7" t="s">
        <v>431</v>
      </c>
    </row>
    <row r="55" spans="1:21" ht="18.600000000000001" thickBot="1" x14ac:dyDescent="0.35">
      <c r="B55" s="41" t="s">
        <v>58</v>
      </c>
      <c r="C55" s="73" t="s">
        <v>57</v>
      </c>
      <c r="D55" s="74" t="s">
        <v>56</v>
      </c>
      <c r="E55" s="74" t="s">
        <v>59</v>
      </c>
      <c r="F55" s="74" t="s">
        <v>430</v>
      </c>
      <c r="G55" s="73" t="s">
        <v>54</v>
      </c>
      <c r="H55" s="74" t="s">
        <v>84</v>
      </c>
      <c r="I55" s="73" t="s">
        <v>79</v>
      </c>
      <c r="J55" s="24" t="s">
        <v>55</v>
      </c>
      <c r="P55" s="7"/>
      <c r="S55" s="9"/>
    </row>
    <row r="56" spans="1:21" x14ac:dyDescent="0.3">
      <c r="B56" s="69" t="s">
        <v>20</v>
      </c>
      <c r="C56" s="37" t="str">
        <f>IF(C16=0,"",C16)</f>
        <v>Type IL</v>
      </c>
      <c r="D56" s="25" t="str">
        <f>IF(D16=0,"",D16)</f>
        <v>CEM-HCM1L</v>
      </c>
      <c r="E56" s="25">
        <f>IF(E16=0,"",E16)</f>
        <v>3.15</v>
      </c>
      <c r="F56" s="92">
        <f>IF(F16=0,"",F16)</f>
        <v>600</v>
      </c>
      <c r="G56" s="25" t="str">
        <f>IF(G16=0,"",G16)</f>
        <v>lb</v>
      </c>
      <c r="H56" s="33">
        <f>IFERROR(IF(F8="Mortar or Paste", "",$I$50/27*F56),"")</f>
        <v>33.333333333333329</v>
      </c>
      <c r="I56" s="25" t="str">
        <f>IF(AND($F$8="Concrete",H56&gt;0), G56,"")</f>
        <v>lb</v>
      </c>
      <c r="J56" s="35">
        <f>IFERROR(H56/E56/62.424,"")</f>
        <v>0.16951830356930958</v>
      </c>
      <c r="P56" s="7"/>
      <c r="S56" s="8"/>
    </row>
    <row r="57" spans="1:21" x14ac:dyDescent="0.3">
      <c r="B57" s="45" t="s">
        <v>20</v>
      </c>
      <c r="C57" s="38" t="str">
        <f t="shared" ref="C57:D78" si="3">IF(C17=0,"",C17)</f>
        <v/>
      </c>
      <c r="D57" s="26" t="str">
        <f t="shared" si="3"/>
        <v/>
      </c>
      <c r="E57" s="26" t="str">
        <f t="shared" ref="E57:F57" si="4">IF(E17=0,"",E17)</f>
        <v/>
      </c>
      <c r="F57" s="93" t="str">
        <f t="shared" si="4"/>
        <v/>
      </c>
      <c r="G57" s="26" t="str">
        <f t="shared" ref="G57:G78" si="5">IF(G17=0,"",G17)</f>
        <v/>
      </c>
      <c r="H57" s="31" t="str">
        <f>IFERROR(IF(F8="Mortar or Paste", "",$I$50/27*F57),"")</f>
        <v/>
      </c>
      <c r="I57" s="26" t="str">
        <f>IF(AND($F$8="Concrete",H57&gt;0), G57,"")</f>
        <v/>
      </c>
      <c r="J57" s="34" t="str">
        <f t="shared" ref="J57:J68" si="6">IFERROR(H57/E57/62.424,"")</f>
        <v/>
      </c>
      <c r="P57" s="7"/>
      <c r="S57" s="8"/>
    </row>
    <row r="58" spans="1:21" ht="18.600000000000001" thickBot="1" x14ac:dyDescent="0.35">
      <c r="B58" s="48" t="s">
        <v>20</v>
      </c>
      <c r="C58" s="39" t="str">
        <f t="shared" si="3"/>
        <v/>
      </c>
      <c r="D58" s="27" t="str">
        <f t="shared" si="3"/>
        <v/>
      </c>
      <c r="E58" s="27" t="str">
        <f t="shared" ref="E58:F58" si="7">IF(E18=0,"",E18)</f>
        <v/>
      </c>
      <c r="F58" s="94" t="str">
        <f t="shared" si="7"/>
        <v/>
      </c>
      <c r="G58" s="27" t="str">
        <f t="shared" si="5"/>
        <v/>
      </c>
      <c r="H58" s="32" t="str">
        <f>IFERROR(IF(F8="Mortar or Paste", "",$I$50/27*F58),"")</f>
        <v/>
      </c>
      <c r="I58" s="27" t="str">
        <f>IF(AND($F$8="Concrete",H58&gt;0), G58,"")</f>
        <v/>
      </c>
      <c r="J58" s="42" t="str">
        <f t="shared" si="6"/>
        <v/>
      </c>
      <c r="P58" s="7"/>
      <c r="S58" s="8"/>
    </row>
    <row r="59" spans="1:21" x14ac:dyDescent="0.3">
      <c r="B59" s="69" t="s">
        <v>21</v>
      </c>
      <c r="C59" s="37" t="str">
        <f t="shared" si="3"/>
        <v>GGBFS</v>
      </c>
      <c r="D59" s="25" t="str">
        <f t="shared" si="3"/>
        <v>SLG-SKY</v>
      </c>
      <c r="E59" s="25">
        <f t="shared" ref="E59:F59" si="8">IF(E19=0,"",E19)</f>
        <v>2.95</v>
      </c>
      <c r="F59" s="92">
        <f t="shared" si="8"/>
        <v>100</v>
      </c>
      <c r="G59" s="25" t="str">
        <f t="shared" si="5"/>
        <v>lb</v>
      </c>
      <c r="H59" s="33">
        <f>IFERROR(IF(F8="Mortar or Paste", "",$I$50/27*F59),"")</f>
        <v>5.5555555555555554</v>
      </c>
      <c r="I59" s="25" t="str">
        <f>IF(AND($F$8="Concrete",H59&gt;0), G59,"")</f>
        <v>lb</v>
      </c>
      <c r="J59" s="35">
        <f t="shared" si="6"/>
        <v>3.0168511652165265E-2</v>
      </c>
    </row>
    <row r="60" spans="1:21" x14ac:dyDescent="0.3">
      <c r="B60" s="45" t="s">
        <v>21</v>
      </c>
      <c r="C60" s="38" t="str">
        <f t="shared" si="3"/>
        <v/>
      </c>
      <c r="D60" s="26" t="str">
        <f t="shared" si="3"/>
        <v/>
      </c>
      <c r="E60" s="26" t="str">
        <f t="shared" ref="E60:F60" si="9">IF(E20=0,"",E20)</f>
        <v/>
      </c>
      <c r="F60" s="93" t="str">
        <f t="shared" si="9"/>
        <v/>
      </c>
      <c r="G60" s="26" t="str">
        <f t="shared" si="5"/>
        <v/>
      </c>
      <c r="H60" s="31" t="str">
        <f>IFERROR(IF(F8="Mortar or Paste", "",$I$50/27*F60),"")</f>
        <v/>
      </c>
      <c r="I60" s="26" t="str">
        <f>IF(AND($F$8="Concrete",H60&gt;0), G60,"")</f>
        <v/>
      </c>
      <c r="J60" s="34" t="str">
        <f t="shared" si="6"/>
        <v/>
      </c>
    </row>
    <row r="61" spans="1:21" x14ac:dyDescent="0.3">
      <c r="B61" s="45" t="s">
        <v>21</v>
      </c>
      <c r="C61" s="38" t="str">
        <f t="shared" si="3"/>
        <v/>
      </c>
      <c r="D61" s="26" t="str">
        <f t="shared" si="3"/>
        <v/>
      </c>
      <c r="E61" s="26" t="str">
        <f t="shared" ref="E61:F61" si="10">IF(E21=0,"",E21)</f>
        <v/>
      </c>
      <c r="F61" s="93" t="str">
        <f t="shared" si="10"/>
        <v/>
      </c>
      <c r="G61" s="26" t="str">
        <f t="shared" si="5"/>
        <v/>
      </c>
      <c r="H61" s="31" t="str">
        <f>IFERROR(IF(F8="Mortar or Paste", "",$I$51/27*F61),"")</f>
        <v/>
      </c>
      <c r="I61" s="26" t="str">
        <f>IF(AND($F$8="Concrete",H61&gt;0), G61,"")</f>
        <v/>
      </c>
      <c r="J61" s="34" t="str">
        <f t="shared" si="6"/>
        <v/>
      </c>
    </row>
    <row r="62" spans="1:21" ht="18.600000000000001" thickBot="1" x14ac:dyDescent="0.35">
      <c r="B62" s="48" t="s">
        <v>21</v>
      </c>
      <c r="C62" s="39" t="str">
        <f t="shared" si="3"/>
        <v/>
      </c>
      <c r="D62" s="27" t="str">
        <f t="shared" si="3"/>
        <v/>
      </c>
      <c r="E62" s="27" t="str">
        <f t="shared" ref="E62:F62" si="11">IF(E22=0,"",E22)</f>
        <v/>
      </c>
      <c r="F62" s="94" t="str">
        <f t="shared" si="11"/>
        <v/>
      </c>
      <c r="G62" s="27" t="str">
        <f t="shared" si="5"/>
        <v/>
      </c>
      <c r="H62" s="32" t="str">
        <f>IFERROR(IF(F8="Mortar or Paste", "",$I$50/27*F62),"")</f>
        <v/>
      </c>
      <c r="I62" s="27" t="str">
        <f>IF(AND($F$8="Concrete",H62&gt;0), G62,"")</f>
        <v/>
      </c>
      <c r="J62" s="42" t="str">
        <f t="shared" si="6"/>
        <v/>
      </c>
    </row>
    <row r="63" spans="1:21" x14ac:dyDescent="0.3">
      <c r="B63" s="69" t="s">
        <v>52</v>
      </c>
      <c r="C63" s="37" t="str">
        <f t="shared" si="3"/>
        <v>Type S Specific Performance</v>
      </c>
      <c r="D63" s="25" t="str">
        <f t="shared" si="3"/>
        <v>OZ-FE</v>
      </c>
      <c r="E63" s="25">
        <f t="shared" ref="E63:F63" si="12">IF(E23=0,"",E23)</f>
        <v>2.6</v>
      </c>
      <c r="F63" s="92">
        <f t="shared" si="12"/>
        <v>50</v>
      </c>
      <c r="G63" s="25" t="str">
        <f t="shared" si="5"/>
        <v>lb</v>
      </c>
      <c r="H63" s="33">
        <f>IFERROR(IF(F8="Mortar or Paste", "",$I$50/27*F63),"")</f>
        <v>2.7777777777777777</v>
      </c>
      <c r="I63" s="25" t="str">
        <f>IF(AND($F$8="Concrete",H63&gt;0), G63,"")</f>
        <v>lb</v>
      </c>
      <c r="J63" s="35">
        <f t="shared" si="6"/>
        <v>1.7114828725747603E-2</v>
      </c>
      <c r="O63" s="1"/>
      <c r="P63" s="12"/>
    </row>
    <row r="64" spans="1:21" ht="18.600000000000001" thickBot="1" x14ac:dyDescent="0.35">
      <c r="B64" s="48" t="s">
        <v>52</v>
      </c>
      <c r="C64" s="39" t="str">
        <f t="shared" si="3"/>
        <v/>
      </c>
      <c r="D64" s="27" t="str">
        <f t="shared" si="3"/>
        <v/>
      </c>
      <c r="E64" s="27" t="str">
        <f t="shared" ref="E64:F64" si="13">IF(E24=0,"",E24)</f>
        <v/>
      </c>
      <c r="F64" s="94" t="str">
        <f t="shared" si="13"/>
        <v/>
      </c>
      <c r="G64" s="27" t="str">
        <f t="shared" si="5"/>
        <v/>
      </c>
      <c r="H64" s="32" t="str">
        <f>IFERROR(IF(F8="Mortar or Paste", "",$I$50/27*F64),"")</f>
        <v/>
      </c>
      <c r="I64" s="27" t="str">
        <f>IF(AND($F$8="Concrete",H64&gt;0), G64,"")</f>
        <v/>
      </c>
      <c r="J64" s="42" t="str">
        <f t="shared" si="6"/>
        <v/>
      </c>
      <c r="O64" s="1"/>
      <c r="P64" s="12"/>
    </row>
    <row r="65" spans="2:16" x14ac:dyDescent="0.3">
      <c r="B65" s="69" t="s">
        <v>49</v>
      </c>
      <c r="C65" s="37" t="str">
        <f t="shared" si="3"/>
        <v>Coarse Aggregate</v>
      </c>
      <c r="D65" s="25" t="str">
        <f t="shared" si="3"/>
        <v>22CM11BLC</v>
      </c>
      <c r="E65" s="25">
        <f t="shared" ref="E65:F65" si="14">IF(E25=0,"",E25)</f>
        <v>2.66</v>
      </c>
      <c r="F65" s="92">
        <f t="shared" si="14"/>
        <v>1550</v>
      </c>
      <c r="G65" s="25" t="str">
        <f t="shared" si="5"/>
        <v>lb</v>
      </c>
      <c r="H65" s="33">
        <f>IFERROR(IF(F8="Mortar or Paste", "",$I$50/27*F65*(1+K25)/(1+L25)),"")</f>
        <v>87.799564270152487</v>
      </c>
      <c r="I65" s="25" t="str">
        <f>IF(AND($F$8="Concrete",H65&gt;0), G65,"")</f>
        <v>lb</v>
      </c>
      <c r="J65" s="35">
        <f t="shared" si="6"/>
        <v>0.52876065277423956</v>
      </c>
      <c r="O65" s="1"/>
      <c r="P65" s="16"/>
    </row>
    <row r="66" spans="2:16" x14ac:dyDescent="0.3">
      <c r="B66" s="45" t="s">
        <v>49</v>
      </c>
      <c r="C66" s="38" t="str">
        <f t="shared" si="3"/>
        <v>Fine Aggregate</v>
      </c>
      <c r="D66" s="26" t="str">
        <f t="shared" si="3"/>
        <v>27FM02MA</v>
      </c>
      <c r="E66" s="26">
        <f t="shared" ref="E66:F66" si="15">IF(E26=0,"",E26)</f>
        <v>2.66</v>
      </c>
      <c r="F66" s="93">
        <f t="shared" si="15"/>
        <v>1250</v>
      </c>
      <c r="G66" s="26" t="str">
        <f t="shared" si="5"/>
        <v>lb</v>
      </c>
      <c r="H66" s="31">
        <f>IFERROR(IF(F8="Mortar or Paste", "",$I$50/27*F66*(1+K26)/(1+L26)),"")</f>
        <v>70.470717022441164</v>
      </c>
      <c r="I66" s="26" t="str">
        <f>IF(AND($F$8="Concrete",H66&gt;0), G66,"")</f>
        <v>lb</v>
      </c>
      <c r="J66" s="34">
        <f t="shared" si="6"/>
        <v>0.42440008266558099</v>
      </c>
      <c r="O66" s="1"/>
      <c r="P66" s="16"/>
    </row>
    <row r="67" spans="2:16" x14ac:dyDescent="0.3">
      <c r="B67" s="45" t="s">
        <v>49</v>
      </c>
      <c r="C67" s="38" t="str">
        <f t="shared" si="3"/>
        <v/>
      </c>
      <c r="D67" s="26" t="str">
        <f t="shared" si="3"/>
        <v/>
      </c>
      <c r="E67" s="26" t="str">
        <f t="shared" ref="E67:F67" si="16">IF(E27=0,"",E27)</f>
        <v/>
      </c>
      <c r="F67" s="93" t="str">
        <f t="shared" si="16"/>
        <v/>
      </c>
      <c r="G67" s="26" t="str">
        <f t="shared" si="5"/>
        <v/>
      </c>
      <c r="H67" s="31" t="str">
        <f>IFERROR(IF(F8="Mortar or Paste", "",$I$50/27*F67*(1+K27)/(1+L27)),"")</f>
        <v/>
      </c>
      <c r="I67" s="26" t="str">
        <f>IF(AND($F$8="Concrete",H67&gt;0), G67,"")</f>
        <v/>
      </c>
      <c r="J67" s="34" t="str">
        <f t="shared" si="6"/>
        <v/>
      </c>
      <c r="O67" s="1"/>
      <c r="P67" s="16"/>
    </row>
    <row r="68" spans="2:16" ht="18.600000000000001" thickBot="1" x14ac:dyDescent="0.35">
      <c r="B68" s="48" t="s">
        <v>49</v>
      </c>
      <c r="C68" s="39" t="str">
        <f t="shared" si="3"/>
        <v/>
      </c>
      <c r="D68" s="27" t="str">
        <f t="shared" si="3"/>
        <v/>
      </c>
      <c r="E68" s="27" t="str">
        <f t="shared" ref="E68:F68" si="17">IF(E28=0,"",E28)</f>
        <v/>
      </c>
      <c r="F68" s="94" t="str">
        <f t="shared" si="17"/>
        <v/>
      </c>
      <c r="G68" s="27" t="str">
        <f t="shared" si="5"/>
        <v/>
      </c>
      <c r="H68" s="32" t="str">
        <f>IFERROR(IF(F8="Mortar or Paste", "",$I$50/27*F68*(1+K28)/(1+L28)),"")</f>
        <v/>
      </c>
      <c r="I68" s="27" t="str">
        <f>IF(AND($F$8="Concrete",H68&gt;0), G68,"")</f>
        <v/>
      </c>
      <c r="J68" s="42" t="str">
        <f t="shared" si="6"/>
        <v/>
      </c>
      <c r="O68" s="1"/>
      <c r="P68" s="16"/>
    </row>
    <row r="69" spans="2:16" x14ac:dyDescent="0.3">
      <c r="B69" s="70" t="s">
        <v>60</v>
      </c>
      <c r="C69" s="37" t="str">
        <f t="shared" si="3"/>
        <v>Type A Water Reducer</v>
      </c>
      <c r="D69" s="25" t="str">
        <f t="shared" si="3"/>
        <v>WR-82</v>
      </c>
      <c r="E69" s="25">
        <f t="shared" ref="E69:F69" si="18">IF(E29=0,"",E29)</f>
        <v>1</v>
      </c>
      <c r="F69" s="92">
        <f t="shared" si="18"/>
        <v>5</v>
      </c>
      <c r="G69" s="25" t="str">
        <f t="shared" si="5"/>
        <v>oz/cwt CM</v>
      </c>
      <c r="H69" s="33">
        <f>IFERROR(IF(F8="Mortar or Paste", "",$I$50/27*I29*28316.8),"")</f>
        <v>57.332578637845842</v>
      </c>
      <c r="I69" s="66" t="str">
        <f>IF(AND($F$8="Concrete",H69&gt;0), "ml","")</f>
        <v>ml</v>
      </c>
      <c r="J69" s="18"/>
      <c r="O69" s="1"/>
      <c r="P69" s="12"/>
    </row>
    <row r="70" spans="2:16" x14ac:dyDescent="0.3">
      <c r="B70" s="71" t="s">
        <v>60</v>
      </c>
      <c r="C70" s="38" t="str">
        <f t="shared" si="3"/>
        <v/>
      </c>
      <c r="D70" s="26" t="str">
        <f t="shared" si="3"/>
        <v/>
      </c>
      <c r="E70" s="26" t="str">
        <f t="shared" ref="E70:F70" si="19">IF(E30=0,"",E30)</f>
        <v/>
      </c>
      <c r="F70" s="93" t="str">
        <f t="shared" si="19"/>
        <v/>
      </c>
      <c r="G70" s="26" t="str">
        <f t="shared" si="5"/>
        <v/>
      </c>
      <c r="H70" s="31">
        <f>IFERROR(IF(F8="Mortar or Paste", "",$I$50/27*I30*28316.8),"")</f>
        <v>0</v>
      </c>
      <c r="I70" s="67" t="str">
        <f>IF(AND($F$8="Concrete",H70&gt;0), "ml","")</f>
        <v/>
      </c>
      <c r="J70" s="18"/>
      <c r="O70" s="1"/>
      <c r="P70" s="13"/>
    </row>
    <row r="71" spans="2:16" x14ac:dyDescent="0.3">
      <c r="B71" s="71" t="s">
        <v>60</v>
      </c>
      <c r="C71" s="38" t="str">
        <f t="shared" si="3"/>
        <v/>
      </c>
      <c r="D71" s="26" t="str">
        <f t="shared" si="3"/>
        <v/>
      </c>
      <c r="E71" s="26" t="str">
        <f t="shared" ref="E71:F71" si="20">IF(E31=0,"",E31)</f>
        <v/>
      </c>
      <c r="F71" s="93" t="str">
        <f t="shared" si="20"/>
        <v/>
      </c>
      <c r="G71" s="26" t="str">
        <f t="shared" si="5"/>
        <v/>
      </c>
      <c r="H71" s="31">
        <f>IFERROR(IF(F8="Mortar or Paste", "",$I$50/27*I31*28316.8),"")</f>
        <v>0</v>
      </c>
      <c r="I71" s="67" t="str">
        <f t="shared" ref="I71:I74" si="21">IF(AND($F$8="Concrete",H71&gt;0), "ml","")</f>
        <v/>
      </c>
      <c r="J71" s="18"/>
      <c r="O71" s="1"/>
      <c r="P71" s="13"/>
    </row>
    <row r="72" spans="2:16" x14ac:dyDescent="0.3">
      <c r="B72" s="71" t="s">
        <v>60</v>
      </c>
      <c r="C72" s="38" t="str">
        <f t="shared" si="3"/>
        <v/>
      </c>
      <c r="D72" s="26" t="str">
        <f t="shared" si="3"/>
        <v/>
      </c>
      <c r="E72" s="26" t="str">
        <f t="shared" ref="E72:F72" si="22">IF(E32=0,"",E32)</f>
        <v/>
      </c>
      <c r="F72" s="93" t="str">
        <f t="shared" si="22"/>
        <v/>
      </c>
      <c r="G72" s="26" t="str">
        <f t="shared" si="5"/>
        <v/>
      </c>
      <c r="H72" s="31">
        <f>IFERROR(IF(F8="Mortar or Paste", "",$I$50/27*I32*28316.8),"")</f>
        <v>0</v>
      </c>
      <c r="I72" s="67" t="str">
        <f t="shared" si="21"/>
        <v/>
      </c>
      <c r="J72" s="18"/>
      <c r="O72" s="1"/>
    </row>
    <row r="73" spans="2:16" x14ac:dyDescent="0.3">
      <c r="B73" s="71" t="s">
        <v>60</v>
      </c>
      <c r="C73" s="38" t="str">
        <f t="shared" si="3"/>
        <v/>
      </c>
      <c r="D73" s="26" t="str">
        <f t="shared" si="3"/>
        <v/>
      </c>
      <c r="E73" s="26" t="str">
        <f t="shared" ref="E73:F73" si="23">IF(E33=0,"",E33)</f>
        <v/>
      </c>
      <c r="F73" s="93" t="str">
        <f t="shared" si="23"/>
        <v/>
      </c>
      <c r="G73" s="26" t="str">
        <f t="shared" si="5"/>
        <v/>
      </c>
      <c r="H73" s="31">
        <f>IFERROR(IF(F8="Mortar or Paste", "",$I$50/27*I33*28316.8),"")</f>
        <v>0</v>
      </c>
      <c r="I73" s="67" t="str">
        <f t="shared" si="21"/>
        <v/>
      </c>
      <c r="J73" s="18"/>
      <c r="O73" s="1"/>
    </row>
    <row r="74" spans="2:16" ht="18.600000000000001" thickBot="1" x14ac:dyDescent="0.35">
      <c r="B74" s="72" t="s">
        <v>60</v>
      </c>
      <c r="C74" s="39" t="str">
        <f t="shared" si="3"/>
        <v/>
      </c>
      <c r="D74" s="27" t="str">
        <f t="shared" si="3"/>
        <v/>
      </c>
      <c r="E74" s="27" t="str">
        <f t="shared" ref="E74:F74" si="24">IF(E34=0,"",E34)</f>
        <v/>
      </c>
      <c r="F74" s="94" t="str">
        <f t="shared" si="24"/>
        <v/>
      </c>
      <c r="G74" s="27" t="str">
        <f t="shared" si="5"/>
        <v/>
      </c>
      <c r="H74" s="32">
        <f>IFERROR(IF(F8="Mortar or Paste", "",$I$50/27*I34*28316.8),"")</f>
        <v>0</v>
      </c>
      <c r="I74" s="68" t="str">
        <f t="shared" si="21"/>
        <v/>
      </c>
      <c r="J74" s="19"/>
      <c r="O74" s="1"/>
    </row>
    <row r="75" spans="2:16" x14ac:dyDescent="0.3">
      <c r="B75" s="70" t="s">
        <v>63</v>
      </c>
      <c r="C75" s="37" t="str">
        <f t="shared" si="3"/>
        <v>Fibers</v>
      </c>
      <c r="D75" s="25" t="str">
        <f t="shared" si="3"/>
        <v>LQFIBER</v>
      </c>
      <c r="E75" s="25">
        <f>IF(E35=0,"",E35)</f>
        <v>1</v>
      </c>
      <c r="F75" s="92">
        <f>IF(F35=0,"",F35)</f>
        <v>1</v>
      </c>
      <c r="G75" s="25" t="str">
        <f t="shared" si="5"/>
        <v>lb</v>
      </c>
      <c r="H75" s="33">
        <f>IFERROR(IF(F8="Mortar or Paste", "",$I$50/27*F75),"")</f>
        <v>5.5555555555555552E-2</v>
      </c>
      <c r="I75" s="25" t="str">
        <f>IF(AND($F$8="Concrete",H75&gt;0), G75,"")</f>
        <v>lb</v>
      </c>
      <c r="J75" s="35">
        <f>IFERROR(H75/E75/62.424,"")</f>
        <v>8.8997109373887531E-4</v>
      </c>
      <c r="O75" s="1"/>
    </row>
    <row r="76" spans="2:16" ht="18.600000000000001" thickBot="1" x14ac:dyDescent="0.35">
      <c r="B76" s="72" t="s">
        <v>63</v>
      </c>
      <c r="C76" s="39" t="str">
        <f t="shared" si="3"/>
        <v/>
      </c>
      <c r="D76" s="27" t="str">
        <f t="shared" si="3"/>
        <v/>
      </c>
      <c r="E76" s="27" t="str">
        <f t="shared" ref="E76:F76" si="25">IF(E36=0,"",E36)</f>
        <v/>
      </c>
      <c r="F76" s="94" t="str">
        <f t="shared" si="25"/>
        <v/>
      </c>
      <c r="G76" s="27" t="str">
        <f t="shared" si="5"/>
        <v/>
      </c>
      <c r="H76" s="51" t="str">
        <f>IFERROR(IF(F8="Mortar or Paste", "",$I$50/27*F76),"")</f>
        <v/>
      </c>
      <c r="I76" s="27" t="str">
        <f>IF(AND($F$8="Concrete",H76&gt;0), G76,"")</f>
        <v/>
      </c>
      <c r="J76" s="36" t="str">
        <f>IFERROR(H76/E76/62.424,"")</f>
        <v/>
      </c>
      <c r="O76" s="1"/>
    </row>
    <row r="77" spans="2:16" x14ac:dyDescent="0.3">
      <c r="B77" s="44" t="s">
        <v>13</v>
      </c>
      <c r="C77" s="38" t="str">
        <f t="shared" si="3"/>
        <v>City Water</v>
      </c>
      <c r="D77" s="26" t="str">
        <f t="shared" si="3"/>
        <v>W1</v>
      </c>
      <c r="E77" s="26">
        <f t="shared" ref="E77:F77" si="26">IF(E37=0,"",E37)</f>
        <v>1</v>
      </c>
      <c r="F77" s="93">
        <f t="shared" si="26"/>
        <v>270.90000000000003</v>
      </c>
      <c r="G77" s="26" t="str">
        <f t="shared" si="5"/>
        <v>lb</v>
      </c>
      <c r="H77" s="184">
        <f>IFERROR(IF(F8="Mortar or Paste", "",$I$50/27*(F77+SUM(F65:F68))-SUM(H65:H68)),"")</f>
        <v>12.335274262961889</v>
      </c>
      <c r="I77" s="26" t="str">
        <f>IF(AND($F$8="Concrete",H77&gt;0), G77,"")</f>
        <v>lb</v>
      </c>
      <c r="J77" s="34">
        <f>IFERROR(H77/E77/62.424,"")</f>
        <v>0.19760467549278946</v>
      </c>
      <c r="O77" s="1"/>
    </row>
    <row r="78" spans="2:16" ht="18.600000000000001" thickBot="1" x14ac:dyDescent="0.35">
      <c r="B78" s="46" t="s">
        <v>13</v>
      </c>
      <c r="C78" s="75" t="str">
        <f t="shared" si="3"/>
        <v>Recycled Water</v>
      </c>
      <c r="D78" s="76" t="str">
        <f t="shared" si="3"/>
        <v>W2</v>
      </c>
      <c r="E78" s="76">
        <f t="shared" ref="E78:F78" si="27">IF(E38=0,"",E38)</f>
        <v>1</v>
      </c>
      <c r="F78" s="95">
        <f t="shared" si="27"/>
        <v>30.1</v>
      </c>
      <c r="G78" s="76" t="str">
        <f t="shared" si="5"/>
        <v>lb</v>
      </c>
      <c r="H78" s="43">
        <f>IFERROR(IF(F8="Mortar or Paste", "",$I$50/27*F78),"")</f>
        <v>1.6722222222222223</v>
      </c>
      <c r="I78" s="76" t="str">
        <f>IF(AND($F$8="Concrete",H78&gt;0), G78,"")</f>
        <v>lb</v>
      </c>
      <c r="J78" s="36">
        <f>IFERROR(H78/E78/62.424,"")</f>
        <v>2.6788129921540151E-2</v>
      </c>
      <c r="N78" s="15"/>
      <c r="O78" s="1"/>
    </row>
    <row r="79" spans="2:16" ht="18.600000000000001" thickBot="1" x14ac:dyDescent="0.35"/>
    <row r="80" spans="2:16" ht="18.75" customHeight="1" x14ac:dyDescent="0.3">
      <c r="B80" s="229" t="s">
        <v>85</v>
      </c>
      <c r="C80" s="230"/>
      <c r="D80" s="230"/>
      <c r="E80" s="230"/>
      <c r="F80" s="230"/>
      <c r="G80" s="231"/>
    </row>
    <row r="81" spans="1:16" ht="19.5" customHeight="1" thickBot="1" x14ac:dyDescent="0.35">
      <c r="B81" s="232"/>
      <c r="C81" s="233"/>
      <c r="D81" s="233"/>
      <c r="E81" s="233"/>
      <c r="F81" s="233"/>
      <c r="G81" s="234"/>
    </row>
    <row r="82" spans="1:16" x14ac:dyDescent="0.3">
      <c r="A82" s="10" t="s">
        <v>413</v>
      </c>
    </row>
    <row r="83" spans="1:16" x14ac:dyDescent="0.3">
      <c r="B83" s="173" t="s">
        <v>426</v>
      </c>
      <c r="C83" s="81" t="str">
        <f>IF(D8="","",D8)</f>
        <v>Test-0</v>
      </c>
      <c r="D83" s="81" t="s">
        <v>445</v>
      </c>
      <c r="E83" s="174" t="str">
        <f>IF(F8="","",F8)</f>
        <v>Concrete</v>
      </c>
      <c r="F83" s="81" t="s">
        <v>424</v>
      </c>
      <c r="G83" s="81">
        <f>IF(E83="Mortar or Paste","",IF(I50="","",I50))</f>
        <v>1.5</v>
      </c>
      <c r="H83" s="208" t="s">
        <v>461</v>
      </c>
      <c r="I83" s="209"/>
    </row>
    <row r="84" spans="1:16" x14ac:dyDescent="0.3">
      <c r="B84" s="81" t="s">
        <v>419</v>
      </c>
      <c r="C84" s="81" t="str">
        <f>IF(D9="","",D9)</f>
        <v>Test-1</v>
      </c>
      <c r="D84" s="81" t="s">
        <v>458</v>
      </c>
      <c r="E84" s="178">
        <f>IF(I8="","",I8)</f>
        <v>0.21428571428571427</v>
      </c>
      <c r="F84" s="81" t="s">
        <v>73</v>
      </c>
      <c r="G84" s="178">
        <f>IF(E83="Mortar or Paste","",IF(I9="","",I9))</f>
        <v>0.32459958408561773</v>
      </c>
      <c r="H84" s="210"/>
      <c r="I84" s="211"/>
    </row>
    <row r="85" spans="1:16" x14ac:dyDescent="0.3">
      <c r="B85" s="81" t="s">
        <v>17</v>
      </c>
      <c r="C85" s="81">
        <f>IF(D10="","",D10)</f>
        <v>0.43</v>
      </c>
      <c r="D85" s="81" t="s">
        <v>71</v>
      </c>
      <c r="E85" s="81">
        <f>IF(E83="Mortar or Paste","",IF(I5="","",I5))</f>
        <v>700</v>
      </c>
      <c r="F85" s="81" t="s">
        <v>70</v>
      </c>
      <c r="G85" s="111">
        <f>IF(E83="Mortar or Paste","",IF(I7="","",I7))</f>
        <v>26.989366970060779</v>
      </c>
      <c r="H85" s="83" t="s">
        <v>46</v>
      </c>
      <c r="I85" s="165"/>
    </row>
    <row r="86" spans="1:16" x14ac:dyDescent="0.3">
      <c r="B86" s="81" t="s">
        <v>420</v>
      </c>
      <c r="C86" s="178">
        <f>IF(E83="Mortar or Paste","",IF(F9="","",F9))</f>
        <v>0.05</v>
      </c>
      <c r="D86" s="81" t="s">
        <v>62</v>
      </c>
      <c r="E86" s="81">
        <f>IF(E83="Mortar or Paste","",IF(F10="","",F10))</f>
        <v>4.5</v>
      </c>
      <c r="F86" s="81" t="s">
        <v>72</v>
      </c>
      <c r="G86" s="112">
        <f>IF(E83="Mortar or Paste","",IF(I10="","",I10))</f>
        <v>142.80716566177841</v>
      </c>
      <c r="H86" s="83" t="s">
        <v>418</v>
      </c>
      <c r="I86" s="165"/>
      <c r="P86" s="7"/>
    </row>
    <row r="87" spans="1:16" x14ac:dyDescent="0.3">
      <c r="B87" s="83" t="s">
        <v>421</v>
      </c>
      <c r="C87" s="83">
        <v>5.25</v>
      </c>
      <c r="D87" s="83" t="s">
        <v>45</v>
      </c>
      <c r="E87" s="83">
        <v>5</v>
      </c>
      <c r="F87" s="83" t="s">
        <v>74</v>
      </c>
      <c r="G87" s="83">
        <v>145</v>
      </c>
      <c r="H87" s="83" t="s">
        <v>415</v>
      </c>
      <c r="I87" s="83"/>
      <c r="P87" s="7"/>
    </row>
    <row r="88" spans="1:16" x14ac:dyDescent="0.3">
      <c r="B88" s="83" t="s">
        <v>425</v>
      </c>
      <c r="C88" s="176">
        <v>45528</v>
      </c>
      <c r="D88" s="83" t="s">
        <v>422</v>
      </c>
      <c r="E88" s="83">
        <v>73</v>
      </c>
      <c r="F88" s="166" t="s">
        <v>456</v>
      </c>
      <c r="G88" s="83"/>
      <c r="H88" s="83" t="s">
        <v>416</v>
      </c>
      <c r="I88" s="83"/>
      <c r="P88" s="7"/>
    </row>
    <row r="89" spans="1:16" x14ac:dyDescent="0.3">
      <c r="B89" s="83" t="s">
        <v>414</v>
      </c>
      <c r="C89" s="177">
        <v>0.375</v>
      </c>
      <c r="D89" s="83" t="s">
        <v>423</v>
      </c>
      <c r="E89" s="83">
        <v>77</v>
      </c>
      <c r="F89" s="166" t="s">
        <v>452</v>
      </c>
      <c r="G89" s="83"/>
      <c r="H89" s="83" t="s">
        <v>417</v>
      </c>
      <c r="I89" s="83"/>
    </row>
    <row r="90" spans="1:16" ht="21" customHeight="1" x14ac:dyDescent="0.3">
      <c r="B90" s="212" t="s">
        <v>451</v>
      </c>
      <c r="C90" s="213"/>
      <c r="D90" s="213"/>
      <c r="E90" s="213"/>
      <c r="F90" s="213"/>
      <c r="G90" s="213"/>
      <c r="H90" s="163"/>
      <c r="I90" s="164"/>
    </row>
    <row r="91" spans="1:16" x14ac:dyDescent="0.3">
      <c r="B91" s="104" t="s">
        <v>58</v>
      </c>
      <c r="C91" s="104" t="s">
        <v>57</v>
      </c>
      <c r="D91" s="104" t="s">
        <v>56</v>
      </c>
      <c r="E91" s="104" t="s">
        <v>59</v>
      </c>
      <c r="F91" s="104" t="s">
        <v>430</v>
      </c>
      <c r="G91" s="104" t="s">
        <v>54</v>
      </c>
      <c r="H91" s="104" t="s">
        <v>84</v>
      </c>
      <c r="I91" s="104" t="s">
        <v>54</v>
      </c>
    </row>
    <row r="92" spans="1:16" x14ac:dyDescent="0.3">
      <c r="B92" s="103" t="str" cm="1">
        <f t="array" ref="B92:I100">IFERROR(_xlfn._xlws.FILTER(Batch[],Batch[[ Types]]&lt;&gt;""),"No rows meet the criteria")</f>
        <v>Cement</v>
      </c>
      <c r="C92" s="100" t="str">
        <v>Type IL</v>
      </c>
      <c r="D92" s="100" t="str">
        <v>CEM-HCM1L</v>
      </c>
      <c r="E92" s="79">
        <v>3.15</v>
      </c>
      <c r="F92" s="96">
        <v>600</v>
      </c>
      <c r="G92" s="100" t="str">
        <v>lb</v>
      </c>
      <c r="H92" s="98">
        <v>33.333333333333329</v>
      </c>
      <c r="I92" s="100" t="str">
        <v>lb</v>
      </c>
    </row>
    <row r="93" spans="1:16" x14ac:dyDescent="0.3">
      <c r="B93" s="103" t="str">
        <v>SCM</v>
      </c>
      <c r="C93" s="100" t="str">
        <v>GGBFS</v>
      </c>
      <c r="D93" s="100" t="str">
        <v>SLG-SKY</v>
      </c>
      <c r="E93" s="79">
        <v>2.95</v>
      </c>
      <c r="F93" s="96">
        <v>100</v>
      </c>
      <c r="G93" s="100" t="str">
        <v>lb</v>
      </c>
      <c r="H93" s="98">
        <v>5.5555555555555554</v>
      </c>
      <c r="I93" s="100" t="str">
        <v>lb</v>
      </c>
    </row>
    <row r="94" spans="1:16" x14ac:dyDescent="0.3">
      <c r="B94" s="103" t="str">
        <v>Filler</v>
      </c>
      <c r="C94" s="100" t="str">
        <v>Type S Specific Performance</v>
      </c>
      <c r="D94" s="100" t="str">
        <v>OZ-FE</v>
      </c>
      <c r="E94" s="79">
        <v>2.6</v>
      </c>
      <c r="F94" s="96">
        <v>50</v>
      </c>
      <c r="G94" s="100" t="str">
        <v>lb</v>
      </c>
      <c r="H94" s="98">
        <v>2.7777777777777777</v>
      </c>
      <c r="I94" s="100" t="str">
        <v>lb</v>
      </c>
    </row>
    <row r="95" spans="1:16" x14ac:dyDescent="0.3">
      <c r="B95" s="103" t="str">
        <v>Aggregate</v>
      </c>
      <c r="C95" s="100" t="str">
        <v>Coarse Aggregate</v>
      </c>
      <c r="D95" s="100" t="str">
        <v>22CM11BLC</v>
      </c>
      <c r="E95" s="79">
        <v>2.66</v>
      </c>
      <c r="F95" s="96">
        <v>1550</v>
      </c>
      <c r="G95" s="100" t="str">
        <v>lb</v>
      </c>
      <c r="H95" s="98">
        <v>87.799564270152487</v>
      </c>
      <c r="I95" s="100" t="str">
        <v>lb</v>
      </c>
    </row>
    <row r="96" spans="1:16" x14ac:dyDescent="0.3">
      <c r="B96" s="103" t="str">
        <v>Aggregate</v>
      </c>
      <c r="C96" s="100" t="str">
        <v>Fine Aggregate</v>
      </c>
      <c r="D96" s="100" t="str">
        <v>27FM02MA</v>
      </c>
      <c r="E96" s="79">
        <v>2.66</v>
      </c>
      <c r="F96" s="96">
        <v>1250</v>
      </c>
      <c r="G96" s="100" t="str">
        <v>lb</v>
      </c>
      <c r="H96" s="98">
        <v>70.470717022441164</v>
      </c>
      <c r="I96" s="100" t="str">
        <v>lb</v>
      </c>
    </row>
    <row r="97" spans="2:9" x14ac:dyDescent="0.3">
      <c r="B97" s="103" t="str">
        <v>Admixture</v>
      </c>
      <c r="C97" s="100" t="str">
        <v>Type A Water Reducer</v>
      </c>
      <c r="D97" s="100" t="str">
        <v>WR-82</v>
      </c>
      <c r="E97" s="79">
        <v>1</v>
      </c>
      <c r="F97" s="96">
        <v>5</v>
      </c>
      <c r="G97" s="100" t="str">
        <v>oz/cwt CM</v>
      </c>
      <c r="H97" s="98">
        <v>57.332578637845842</v>
      </c>
      <c r="I97" s="100" t="str">
        <v>ml</v>
      </c>
    </row>
    <row r="98" spans="2:9" x14ac:dyDescent="0.3">
      <c r="B98" s="103" t="str">
        <v>Fiber</v>
      </c>
      <c r="C98" s="100" t="str">
        <v>Fibers</v>
      </c>
      <c r="D98" s="100" t="str">
        <v>LQFIBER</v>
      </c>
      <c r="E98" s="79">
        <v>1</v>
      </c>
      <c r="F98" s="96">
        <v>1</v>
      </c>
      <c r="G98" s="100" t="str">
        <v>lb</v>
      </c>
      <c r="H98" s="98">
        <v>5.5555555555555552E-2</v>
      </c>
      <c r="I98" s="100" t="str">
        <v>lb</v>
      </c>
    </row>
    <row r="99" spans="2:9" x14ac:dyDescent="0.3">
      <c r="B99" s="103" t="str">
        <v>Water</v>
      </c>
      <c r="C99" s="100" t="str">
        <v>City Water</v>
      </c>
      <c r="D99" s="100" t="str">
        <v>W1</v>
      </c>
      <c r="E99" s="79">
        <v>1</v>
      </c>
      <c r="F99" s="96">
        <v>270.90000000000003</v>
      </c>
      <c r="G99" s="100" t="str">
        <v>lb</v>
      </c>
      <c r="H99" s="98">
        <v>12.335274262961889</v>
      </c>
      <c r="I99" s="100" t="str">
        <v>lb</v>
      </c>
    </row>
    <row r="100" spans="2:9" x14ac:dyDescent="0.3">
      <c r="B100" s="103" t="str">
        <v>Water</v>
      </c>
      <c r="C100" s="100" t="str">
        <v>Recycled Water</v>
      </c>
      <c r="D100" s="100" t="str">
        <v>W2</v>
      </c>
      <c r="E100" s="79">
        <v>1</v>
      </c>
      <c r="F100" s="96">
        <v>30.1</v>
      </c>
      <c r="G100" s="100" t="str">
        <v>lb</v>
      </c>
      <c r="H100" s="98">
        <v>1.6722222222222223</v>
      </c>
      <c r="I100" s="100" t="str">
        <v>lb</v>
      </c>
    </row>
    <row r="101" spans="2:9" x14ac:dyDescent="0.3">
      <c r="B101" s="103"/>
      <c r="C101" s="100"/>
      <c r="D101" s="100"/>
      <c r="E101" s="79"/>
      <c r="F101" s="96"/>
      <c r="G101" s="100"/>
      <c r="H101" s="98"/>
      <c r="I101" s="100"/>
    </row>
    <row r="102" spans="2:9" x14ac:dyDescent="0.3">
      <c r="B102" s="103"/>
      <c r="C102" s="100"/>
      <c r="D102" s="100"/>
      <c r="E102" s="79"/>
      <c r="F102" s="96"/>
      <c r="G102" s="100"/>
      <c r="H102" s="98"/>
      <c r="I102" s="100"/>
    </row>
    <row r="103" spans="2:9" x14ac:dyDescent="0.3">
      <c r="B103" s="103"/>
      <c r="C103" s="100"/>
      <c r="D103" s="100"/>
      <c r="E103" s="79"/>
      <c r="F103" s="96"/>
      <c r="G103" s="100"/>
      <c r="H103" s="98"/>
      <c r="I103" s="100"/>
    </row>
    <row r="104" spans="2:9" x14ac:dyDescent="0.3">
      <c r="B104" s="103"/>
      <c r="C104" s="102"/>
      <c r="D104" s="102"/>
      <c r="E104" s="80"/>
      <c r="F104" s="97"/>
      <c r="G104" s="102"/>
      <c r="H104" s="99"/>
      <c r="I104" s="102"/>
    </row>
    <row r="105" spans="2:9" x14ac:dyDescent="0.3">
      <c r="B105" s="103"/>
      <c r="C105" s="102"/>
      <c r="D105" s="102"/>
      <c r="E105" s="80"/>
      <c r="F105" s="97"/>
      <c r="G105" s="102"/>
      <c r="H105" s="99"/>
      <c r="I105" s="102"/>
    </row>
    <row r="106" spans="2:9" x14ac:dyDescent="0.3">
      <c r="B106" s="103"/>
      <c r="C106" s="102"/>
      <c r="D106" s="102"/>
      <c r="E106" s="80"/>
      <c r="F106" s="97"/>
      <c r="G106" s="102"/>
      <c r="H106" s="99"/>
      <c r="I106" s="102"/>
    </row>
    <row r="107" spans="2:9" x14ac:dyDescent="0.3">
      <c r="B107" s="103"/>
      <c r="C107" s="102"/>
      <c r="D107" s="102"/>
      <c r="E107" s="80"/>
      <c r="F107" s="97"/>
      <c r="G107" s="102"/>
      <c r="H107" s="99"/>
      <c r="I107" s="102"/>
    </row>
    <row r="108" spans="2:9" x14ac:dyDescent="0.3">
      <c r="B108" s="103"/>
      <c r="C108" s="102"/>
      <c r="D108" s="102"/>
      <c r="E108" s="80"/>
      <c r="F108" s="97"/>
      <c r="G108" s="102"/>
      <c r="H108" s="99"/>
      <c r="I108" s="102"/>
    </row>
    <row r="109" spans="2:9" x14ac:dyDescent="0.3">
      <c r="B109" s="103"/>
      <c r="C109" s="102"/>
      <c r="D109" s="102"/>
      <c r="E109" s="80"/>
      <c r="F109" s="97"/>
      <c r="G109" s="102"/>
      <c r="H109" s="99"/>
      <c r="I109" s="102"/>
    </row>
    <row r="110" spans="2:9" x14ac:dyDescent="0.3">
      <c r="B110" s="103"/>
      <c r="C110" s="102"/>
      <c r="D110" s="102"/>
      <c r="E110" s="80"/>
      <c r="F110" s="97"/>
      <c r="G110" s="102"/>
      <c r="H110" s="99"/>
      <c r="I110" s="102"/>
    </row>
    <row r="111" spans="2:9" x14ac:dyDescent="0.3">
      <c r="B111" s="103"/>
      <c r="C111" s="102"/>
      <c r="D111" s="102"/>
      <c r="E111" s="80"/>
      <c r="F111" s="97"/>
      <c r="G111" s="102"/>
      <c r="H111" s="99"/>
      <c r="I111" s="102"/>
    </row>
    <row r="112" spans="2:9" x14ac:dyDescent="0.3">
      <c r="B112" s="103"/>
      <c r="C112" s="102"/>
      <c r="D112" s="102"/>
      <c r="E112" s="80"/>
      <c r="F112" s="97"/>
      <c r="G112" s="102"/>
      <c r="H112" s="99"/>
      <c r="I112" s="102"/>
    </row>
    <row r="113" spans="2:9" x14ac:dyDescent="0.3">
      <c r="B113" s="103"/>
      <c r="C113" s="102"/>
      <c r="D113" s="102"/>
      <c r="E113" s="80"/>
      <c r="F113" s="97"/>
      <c r="G113" s="102"/>
      <c r="H113" s="99"/>
      <c r="I113" s="102"/>
    </row>
  </sheetData>
  <sheetProtection selectLockedCells="1"/>
  <mergeCells count="28">
    <mergeCell ref="B90:G90"/>
    <mergeCell ref="C13:E14"/>
    <mergeCell ref="H40:H44"/>
    <mergeCell ref="I40:J44"/>
    <mergeCell ref="J29:J34"/>
    <mergeCell ref="H29:H34"/>
    <mergeCell ref="H35:H36"/>
    <mergeCell ref="H37:H38"/>
    <mergeCell ref="B80:G81"/>
    <mergeCell ref="I47:J48"/>
    <mergeCell ref="I50:J51"/>
    <mergeCell ref="H50:H51"/>
    <mergeCell ref="H47:H48"/>
    <mergeCell ref="J35:J36"/>
    <mergeCell ref="J37:J38"/>
    <mergeCell ref="C2:F3"/>
    <mergeCell ref="C4:F5"/>
    <mergeCell ref="C6:F6"/>
    <mergeCell ref="G13:G14"/>
    <mergeCell ref="H83:I84"/>
    <mergeCell ref="H25:H28"/>
    <mergeCell ref="J16:J18"/>
    <mergeCell ref="J19:J22"/>
    <mergeCell ref="J23:J24"/>
    <mergeCell ref="J25:J28"/>
    <mergeCell ref="H16:H18"/>
    <mergeCell ref="H19:H22"/>
    <mergeCell ref="H23:H24"/>
  </mergeCells>
  <phoneticPr fontId="10" type="noConversion"/>
  <printOptions horizontalCentered="1" verticalCentered="1"/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HideColumnsIfMortar">
                <anchor moveWithCells="1">
                  <from>
                    <xdr:col>6</xdr:col>
                    <xdr:colOff>68580</xdr:colOff>
                    <xdr:row>7</xdr:row>
                    <xdr:rowOff>99060</xdr:rowOff>
                  </from>
                  <to>
                    <xdr:col>6</xdr:col>
                    <xdr:colOff>2240280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F3481B3-E56B-47EF-8A79-BC4CFD244C83}">
          <x14:formula1>
            <xm:f>Units!$D$3:$D$4</xm:f>
          </x14:formula1>
          <xm:sqref>G35:G38 G16:G28</xm:sqref>
        </x14:dataValidation>
        <x14:dataValidation type="list" allowBlank="1" showInputMessage="1" showErrorMessage="1" xr:uid="{EE2C53F5-CA91-4D14-AD34-7634891AF736}">
          <x14:formula1>
            <xm:f>Units!$B$3:$B$8</xm:f>
          </x14:formula1>
          <xm:sqref>G29:G34</xm:sqref>
        </x14:dataValidation>
        <x14:dataValidation type="list" allowBlank="1" showInputMessage="1" showErrorMessage="1" xr:uid="{AAAD3057-4F9C-4A69-8E26-E42418BDF7BA}">
          <x14:formula1>
            <xm:f>Units!$F$3:$F$4</xm:f>
          </x14:formula1>
          <xm:sqref>F8</xm:sqref>
        </x14:dataValidation>
        <x14:dataValidation type="list" allowBlank="1" showInputMessage="1" showErrorMessage="1" xr:uid="{610627FB-8F5B-4481-9708-4AC78847E078}">
          <x14:formula1>
            <xm:f>_xlfn.ANCHORARRAY(Materials_Types!$B2)</xm:f>
          </x14:formula1>
          <xm:sqref>C16:C38</xm:sqref>
        </x14:dataValidation>
        <x14:dataValidation type="list" allowBlank="1" showInputMessage="1" showErrorMessage="1" xr:uid="{DDAD679F-B670-4395-B4DB-7E5C57693757}">
          <x14:formula1>
            <xm:f>_xlfn.ANCHORARRAY(Materials_Names!$B2)</xm:f>
          </x14:formula1>
          <xm:sqref>D16:D38</xm:sqref>
        </x14:dataValidation>
        <x14:dataValidation type="list" allowBlank="1" showInputMessage="1" showErrorMessage="1" xr:uid="{9BBF0123-3C1C-46C4-B229-326EA56329D7}">
          <x14:formula1>
            <xm:f>_xlfn.ANCHORARRAY(Materials_SPG!$B2)</xm:f>
          </x14:formula1>
          <xm:sqref>E16:E38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2F30F61F7E37448B8638BFDBFE562B" ma:contentTypeVersion="17" ma:contentTypeDescription="Create a new document." ma:contentTypeScope="" ma:versionID="5204fd118e5c47c6587dac47c4adb65b">
  <xsd:schema xmlns:xsd="http://www.w3.org/2001/XMLSchema" xmlns:xs="http://www.w3.org/2001/XMLSchema" xmlns:p="http://schemas.microsoft.com/office/2006/metadata/properties" xmlns:ns2="a66978c8-02f8-4380-8c44-a92dddcc60f1" xmlns:ns3="cf922115-58c2-480d-bdca-2d5700d42dca" targetNamespace="http://schemas.microsoft.com/office/2006/metadata/properties" ma:root="true" ma:fieldsID="dae923ce263d56c613052c720042ad6e" ns2:_="" ns3:_="">
    <xsd:import namespace="a66978c8-02f8-4380-8c44-a92dddcc60f1"/>
    <xsd:import namespace="cf922115-58c2-480d-bdca-2d5700d42d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6978c8-02f8-4380-8c44-a92dddcc6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ccd96b8-1836-481a-94a0-4be9041c7e0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922115-58c2-480d-bdca-2d5700d42dc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0fbc89bb-9ae1-4647-af40-72658ecb1ffb}" ma:internalName="TaxCatchAll" ma:showField="CatchAllData" ma:web="cf922115-58c2-480d-bdca-2d5700d42d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f922115-58c2-480d-bdca-2d5700d42dca" xsi:nil="true"/>
    <lcf76f155ced4ddcb4097134ff3c332f xmlns="a66978c8-02f8-4380-8c44-a92dddcc60f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F80A0F3-EA0B-44A6-B5BD-D2FE643B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6978c8-02f8-4380-8c44-a92dddcc60f1"/>
    <ds:schemaRef ds:uri="cf922115-58c2-480d-bdca-2d5700d42d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D1F99D-35FF-4C02-A7F0-38017C381F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55ED11-8366-4605-BB6C-AF41C8FB1CF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AC623D1-4D0F-4340-AC76-2A286322FADE}">
  <ds:schemaRefs>
    <ds:schemaRef ds:uri="cf922115-58c2-480d-bdca-2d5700d42dca"/>
    <ds:schemaRef ds:uri="http://purl.org/dc/elements/1.1/"/>
    <ds:schemaRef ds:uri="http://schemas.microsoft.com/office/2006/metadata/properties"/>
    <ds:schemaRef ds:uri="a66978c8-02f8-4380-8c44-a92dddcc60f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Units</vt:lpstr>
      <vt:lpstr>Materials_List</vt:lpstr>
      <vt:lpstr>Materials_Types</vt:lpstr>
      <vt:lpstr>Materials_Names</vt:lpstr>
      <vt:lpstr>Materials_SPG</vt:lpstr>
      <vt:lpstr>SSD &amp; Batch values</vt:lpstr>
      <vt:lpstr>'SSD &amp; Batch values'!Print_Area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</dc:creator>
  <cp:keywords/>
  <dc:description/>
  <cp:lastModifiedBy>Hajibabaee, Amir</cp:lastModifiedBy>
  <cp:revision/>
  <cp:lastPrinted>2023-11-09T17:58:45Z</cp:lastPrinted>
  <dcterms:created xsi:type="dcterms:W3CDTF">2013-02-25T14:14:16Z</dcterms:created>
  <dcterms:modified xsi:type="dcterms:W3CDTF">2024-08-23T15:37:11Z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0x010100AF2F30F61F7E37448B8638BFDBFE562B</vt:lpwstr>
  </property>
  <property fmtid="{D5CDD505-2E9C-101B-9397-08002B2CF9AE}" pid="3" name="MediaServiceImageTags">
    <vt:lpwstr/>
  </property>
</Properties>
</file>